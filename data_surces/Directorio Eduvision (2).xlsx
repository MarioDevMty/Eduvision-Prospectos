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balderrabano\Desktop\eduvision_prospectos\data_surces\"/>
    </mc:Choice>
  </mc:AlternateContent>
  <bookViews>
    <workbookView xWindow="0" yWindow="0" windowWidth="20490" windowHeight="7755" activeTab="2"/>
  </bookViews>
  <sheets>
    <sheet name="UANL NMS" sheetId="1" r:id="rId1"/>
    <sheet name="CECYTE" sheetId="2" r:id="rId2"/>
    <sheet name="CONALEP" sheetId="3" r:id="rId3"/>
    <sheet name="DGETI(CBTIS-CETIS)" sheetId="4" r:id="rId4"/>
    <sheet name="DGETAYCM" sheetId="5" r:id="rId5"/>
    <sheet name="Hoja1" sheetId="6" r:id="rId6"/>
  </sheets>
  <calcPr calcId="152511"/>
</workbook>
</file>

<file path=xl/calcChain.xml><?xml version="1.0" encoding="utf-8"?>
<calcChain xmlns="http://schemas.openxmlformats.org/spreadsheetml/2006/main">
  <c r="H3" i="5" l="1"/>
  <c r="F3" i="5"/>
  <c r="H3" i="4"/>
  <c r="F3" i="4"/>
  <c r="H3" i="3"/>
  <c r="F3" i="3"/>
  <c r="H3" i="2"/>
  <c r="F3" i="2"/>
  <c r="H3" i="1"/>
  <c r="F3" i="1"/>
</calcChain>
</file>

<file path=xl/sharedStrings.xml><?xml version="1.0" encoding="utf-8"?>
<sst xmlns="http://schemas.openxmlformats.org/spreadsheetml/2006/main" count="822" uniqueCount="557">
  <si>
    <t>Directorio de Prospectos Educativos</t>
  </si>
  <si>
    <t>Total Prospectos</t>
  </si>
  <si>
    <t>En Negociación</t>
  </si>
  <si>
    <t>Dependencia</t>
  </si>
  <si>
    <t>Nombre</t>
  </si>
  <si>
    <t>Puesto</t>
  </si>
  <si>
    <t>Whatsapp</t>
  </si>
  <si>
    <t>correo</t>
  </si>
  <si>
    <t>Telefono oficina</t>
  </si>
  <si>
    <t>Estatus</t>
  </si>
  <si>
    <t>Último Contacto</t>
  </si>
  <si>
    <t>Próxima Acción</t>
  </si>
  <si>
    <t>Notas</t>
  </si>
  <si>
    <t>Preparatoria 1</t>
  </si>
  <si>
    <t>Director</t>
  </si>
  <si>
    <t>Dr. Eric Josué Garza Leal</t>
  </si>
  <si>
    <t>preparatoria1@uanl.mx</t>
  </si>
  <si>
    <t>No público</t>
  </si>
  <si>
    <t>(81) 8386-0270 / 8386-0440</t>
  </si>
  <si>
    <t>Coordinador TIC</t>
  </si>
  <si>
    <t>Angela Lizeth García Alanis</t>
  </si>
  <si>
    <t>angela.garciaaln@uanl.edu.mx</t>
  </si>
  <si>
    <t>—</t>
  </si>
  <si>
    <t>Coach</t>
  </si>
  <si>
    <t>Jesús Erick Mauricio Palacios Castro</t>
  </si>
  <si>
    <t>jpalacioscs@uanl.edu.mx</t>
  </si>
  <si>
    <t>Preparatoria 2</t>
  </si>
  <si>
    <t>M.E.S. Óscar Cortés Torres</t>
  </si>
  <si>
    <t>preparatoria2@uanl.mx</t>
  </si>
  <si>
    <t>(81) 8344-2388 / 8343-7740</t>
  </si>
  <si>
    <t>Laura Patricia Rodríguez Cavazos</t>
  </si>
  <si>
    <t>Laura.rodriguezcv@uanl.edu.mx</t>
  </si>
  <si>
    <t>Laura Gabriela Moreno Salas</t>
  </si>
  <si>
    <t>laura.morenosl@uanl.edu.mx</t>
  </si>
  <si>
    <t>Preparatoria 3</t>
  </si>
  <si>
    <t>Mtro. Joaquín Gerardo Alanís Ramírez</t>
  </si>
  <si>
    <t>preparatoria3@uanl.mx</t>
  </si>
  <si>
    <t>(81) 8375-3803 / 8375-3788</t>
  </si>
  <si>
    <t>Laura Lilia González Guerra</t>
  </si>
  <si>
    <t>laura.gonzalezgrr@uanl.edu.mx</t>
  </si>
  <si>
    <t>Jorge Adolfo García García</t>
  </si>
  <si>
    <t>jorge.garciag@uanl.mx</t>
  </si>
  <si>
    <t>Preparatoria 4</t>
  </si>
  <si>
    <t>Directora</t>
  </si>
  <si>
    <t>Dra. Nora Jazmín Rodríguez Treviño</t>
  </si>
  <si>
    <t>preparatoria4@uanl.mx</t>
  </si>
  <si>
    <t>(821) 212-0524 / 212-0318</t>
  </si>
  <si>
    <t>Alen Lee Escalona Morales (Unidad Galeana)</t>
  </si>
  <si>
    <t>alen.escalonams@uanl.edu.mx</t>
  </si>
  <si>
    <t>Jahir Antonio Rodríguez Perales</t>
  </si>
  <si>
    <t>antonio.rodriguezprls@uanl.edu.mx</t>
  </si>
  <si>
    <t>Preparatoria 5</t>
  </si>
  <si>
    <t>M.C. José Ignacio González Garza</t>
  </si>
  <si>
    <t>preparatoria5@uanl.mx</t>
  </si>
  <si>
    <t>(824) 242-0238</t>
  </si>
  <si>
    <t>Coordinador TIC / Coach</t>
  </si>
  <si>
    <t>Juan Antonio Lara Vázquez</t>
  </si>
  <si>
    <t>Juan.larav@uanl.edu.mx</t>
  </si>
  <si>
    <t>Preparatoria 6</t>
  </si>
  <si>
    <t>Lic. José Antonio González Guajardo</t>
  </si>
  <si>
    <t>preparatoria6@uanl.mx</t>
  </si>
  <si>
    <t>(826) 263-2287</t>
  </si>
  <si>
    <t>Javier Quistiano Benavides</t>
  </si>
  <si>
    <t>javier.quistianobnv@uanl.edu.mx</t>
  </si>
  <si>
    <t>Preparatoria 7</t>
  </si>
  <si>
    <t>Mtra. Cenia de la Garza Salinas</t>
  </si>
  <si>
    <t>preparatoria7@uanl.mx</t>
  </si>
  <si>
    <t>(81) 8350-0080 / 8350-2440</t>
  </si>
  <si>
    <t>Karla Alejandra Quiroga García</t>
  </si>
  <si>
    <t>Karla.quirogagrc@uanl.edu.mx</t>
  </si>
  <si>
    <t>Preparatoria 8</t>
  </si>
  <si>
    <t>M.C. Ricardo Ramos Lucio</t>
  </si>
  <si>
    <t>preparatoria8@uanl.mx</t>
  </si>
  <si>
    <t>(81) 8360-6040 / 8360-6050</t>
  </si>
  <si>
    <t>María del Carmen Vázquez Castro</t>
  </si>
  <si>
    <t>maria.vazquezcs@uanl.edu.mx</t>
  </si>
  <si>
    <t>Jesús Armando De La Riva Mendoza</t>
  </si>
  <si>
    <t>jesus.delarivamn@uanl.edu.mx</t>
  </si>
  <si>
    <t>Preparatoria 9</t>
  </si>
  <si>
    <t>Dr. Alejandro Villarreal Peña</t>
  </si>
  <si>
    <t>preparatoria9@uanl.mx</t>
  </si>
  <si>
    <t>(81) 8370-4240 / 8370-2270</t>
  </si>
  <si>
    <t>Alma Benavides Escamilla</t>
  </si>
  <si>
    <t>ALMA.BENAVIDESESC@uanl.edu.mx</t>
  </si>
  <si>
    <t>Jorge Said Sánchez Pérez</t>
  </si>
  <si>
    <t>jorge.sanchezp@uanl.edu.mx</t>
  </si>
  <si>
    <t>Jonathan Orlando Sánchez Esquivel</t>
  </si>
  <si>
    <t>jsancheze@uanl.edu.mx</t>
  </si>
  <si>
    <t>Diego Emilio Evangelista Gómez</t>
  </si>
  <si>
    <t>diego.evangelistag@uanl.edu.mx</t>
  </si>
  <si>
    <t>Preparatoria 10</t>
  </si>
  <si>
    <t>Lic. Mario Alberto Rodríguez Guerra</t>
  </si>
  <si>
    <t>preparatoria10@uanl.mx</t>
  </si>
  <si>
    <t>(488) 888-0051</t>
  </si>
  <si>
    <t>Genaro Eduardo Argüello Martínez</t>
  </si>
  <si>
    <t>Genaro.arguellom@uanl.edu.mx</t>
  </si>
  <si>
    <t>Preparatoria 11</t>
  </si>
  <si>
    <t>M.A. Juan Antonio González Cantú</t>
  </si>
  <si>
    <t>preparatoria11@uanl.mx</t>
  </si>
  <si>
    <t>(892) 975-0105</t>
  </si>
  <si>
    <t>Joel Hilario Ortiz López</t>
  </si>
  <si>
    <t>joel.ortizlpz@uanl.edu.mx</t>
  </si>
  <si>
    <t>No disponible</t>
  </si>
  <si>
    <t>Preparatoria 12</t>
  </si>
  <si>
    <t>M.C. Erick Guillermo Rodríguez Ibarra</t>
  </si>
  <si>
    <t>preparatoria12@uanl.mx</t>
  </si>
  <si>
    <t>(828) 284-0933</t>
  </si>
  <si>
    <t>Ileana Judith Gracia Rodríguez</t>
  </si>
  <si>
    <t>ileana.graciardr@uanl.edu.mx</t>
  </si>
  <si>
    <t>Preparatoria 13</t>
  </si>
  <si>
    <t>M.C. Carlos Alberto Salazar Tamez</t>
  </si>
  <si>
    <t>preparatoria13@uanl.mx</t>
  </si>
  <si>
    <t>(826) 268-2323</t>
  </si>
  <si>
    <t>Antonio Tamez Tapia</t>
  </si>
  <si>
    <t>antonio.tameztp@uanl.edu.mx</t>
  </si>
  <si>
    <t>Preparatoria 14</t>
  </si>
  <si>
    <t>Lic. Sergio Iván López Ramos</t>
  </si>
  <si>
    <t>preparatoria14@uanl.mx</t>
  </si>
  <si>
    <t>(826) 267-0240</t>
  </si>
  <si>
    <t>Víctor Manuel Rodríguez Hiracheta</t>
  </si>
  <si>
    <t>vrodriguezhr@uanl.edu.mx</t>
  </si>
  <si>
    <t>8261030183 / 8261168486</t>
  </si>
  <si>
    <t>Preparatoria 15</t>
  </si>
  <si>
    <t>Dr. Walcoy Francisco Rivera Zapata</t>
  </si>
  <si>
    <t>preparatoria15@uanl.mx</t>
  </si>
  <si>
    <t>(81) 8358-1808 / 8358-1510</t>
  </si>
  <si>
    <t>Tania Nava Alemán (Unidad Madero)</t>
  </si>
  <si>
    <t>Tania.navalmn@uanl.edu.mx</t>
  </si>
  <si>
    <t>Erick Sánchez Flores</t>
  </si>
  <si>
    <t>erick.sanchezfl@uanl.edu.mx</t>
  </si>
  <si>
    <t>Preparatoria 16</t>
  </si>
  <si>
    <t>Mtra. Gabriela Marylú Salinas Flores</t>
  </si>
  <si>
    <t>preparatoria16@uanl.mx</t>
  </si>
  <si>
    <t>(81) 8330-3050 / 8330-3120</t>
  </si>
  <si>
    <t>Diana Janeth Amaro Fernández</t>
  </si>
  <si>
    <t>damarof@uanl.edu.mx</t>
  </si>
  <si>
    <t>Leonardo Yahir Salas Cardona</t>
  </si>
  <si>
    <t>leonardo.salascrdn@uanl.edu.mx</t>
  </si>
  <si>
    <t>Preparatoria 17</t>
  </si>
  <si>
    <t>M.C. Gerardo Dávila Rodríguez</t>
  </si>
  <si>
    <t>preparatoria17@uanl.mx</t>
  </si>
  <si>
    <t>(81) 2470-3080</t>
  </si>
  <si>
    <t>Martha Idelia Cárdenas García</t>
  </si>
  <si>
    <t>martha.cardenasgr@uanl.edu.mx</t>
  </si>
  <si>
    <t>Ana Carolina Medina Rocha</t>
  </si>
  <si>
    <t>ana.medinarch@uanl.edu.mx</t>
  </si>
  <si>
    <t>Preparatoria 18</t>
  </si>
  <si>
    <t>M.C. Óscar Ovidio Treviño Treviño</t>
  </si>
  <si>
    <t>preparatoria18@uanl.mx</t>
  </si>
  <si>
    <t>(81) 8386-0040</t>
  </si>
  <si>
    <t>Perla Deyanit Gutiérrez Villarreal</t>
  </si>
  <si>
    <t>perla.gutierrezvll@uanl.edu.mx</t>
  </si>
  <si>
    <t>Preparatoria 19</t>
  </si>
  <si>
    <t>Lic. José Gerardo Miranda Tovar</t>
  </si>
  <si>
    <t>preparatoria19@uanl.mx</t>
  </si>
  <si>
    <t>(81) 8283-0050</t>
  </si>
  <si>
    <t>Brenda Susana Sánchez Orozco</t>
  </si>
  <si>
    <t>Brenda.sanchezrz@uanl.edu.mx</t>
  </si>
  <si>
    <t>Izethly Jarinzzi Garza Reyes</t>
  </si>
  <si>
    <t>izethly.garzar@uanl.edu.mx</t>
  </si>
  <si>
    <t>Preparatoria 20</t>
  </si>
  <si>
    <t>M.E.S. Mario Ernesto Alanís Cavazos</t>
  </si>
  <si>
    <t>preparatoria20@uanl.mx</t>
  </si>
  <si>
    <t>(826) 242-1210</t>
  </si>
  <si>
    <t>Saúl Armando Almaguer Salazar</t>
  </si>
  <si>
    <t>saul.almaguersa@uanl.edu.mx</t>
  </si>
  <si>
    <t>Adolio Sánchez Villarreal</t>
  </si>
  <si>
    <t>adolio.sanchezvl@uanl.edu.mx</t>
  </si>
  <si>
    <t>Fernando Rodríguez Sáenz</t>
  </si>
  <si>
    <t>fernando.rodriguezsnz@uanl.edu.mx</t>
  </si>
  <si>
    <t>Preparatoria 21</t>
  </si>
  <si>
    <t>Lic. Dagoberto Silva Leal</t>
  </si>
  <si>
    <t>preparatoria21@uanl.mx</t>
  </si>
  <si>
    <t>(823) 232-0260</t>
  </si>
  <si>
    <t>Nora Lizeth Figueroa Dávila</t>
  </si>
  <si>
    <t>Nora.figueroadv@uanl.edu.mx</t>
  </si>
  <si>
    <t>Preparatoria 22</t>
  </si>
  <si>
    <t>Mtro. Ricardo Romo Treviño</t>
  </si>
  <si>
    <t>preparatoria22@uanl.mx</t>
  </si>
  <si>
    <t>(81) 8367-2850 / 8367-2860</t>
  </si>
  <si>
    <t>Arturo Jonathan Mancilla Lizama</t>
  </si>
  <si>
    <t>arturo.mancillalzm@uanl.edu.mx</t>
  </si>
  <si>
    <t>Jorge Iván Guerrero González</t>
  </si>
  <si>
    <t>jorge.guerreroglz@uanl.edu.mx</t>
  </si>
  <si>
    <t>Gustavo Adrián Guerrero González</t>
  </si>
  <si>
    <t>gustavo.guerrerogo@uanl.edu.mx</t>
  </si>
  <si>
    <t>Preparatoria 23</t>
  </si>
  <si>
    <t>M.C. Gerardo Dávila Solís</t>
  </si>
  <si>
    <t>preparatoria23@uanl.mx</t>
  </si>
  <si>
    <t>(81) 8336-0270 / 8336-0440</t>
  </si>
  <si>
    <t>Jesús Daniel García García</t>
  </si>
  <si>
    <t>jesus.garciagrc@uanl.edu.mx</t>
  </si>
  <si>
    <t>Preparatoria 24</t>
  </si>
  <si>
    <t>Lic. Juan José Mireles Mireles</t>
  </si>
  <si>
    <t>preparatoria24@uanl.mx</t>
  </si>
  <si>
    <t>(873) 737-0130</t>
  </si>
  <si>
    <t>Jesús Gutiérrez Lozano</t>
  </si>
  <si>
    <t>jesus.gutierrezln@uanl.edu.mx</t>
  </si>
  <si>
    <t>Preparatoria 25</t>
  </si>
  <si>
    <t>Dr. Gerardo Pantoja</t>
  </si>
  <si>
    <t>preparatoria25@uanl.mx</t>
  </si>
  <si>
    <t>(81) 8384-0270 / 8384-0440</t>
  </si>
  <si>
    <t>María Lemya Manrique Garza (Unidad Escobedo)</t>
  </si>
  <si>
    <t>maria.manriquegrz@uanl.edu.mx</t>
  </si>
  <si>
    <t>EIAO (Álvaro Obregón)</t>
  </si>
  <si>
    <t>Mtro. Víctor Hugo Ibarra Lozano</t>
  </si>
  <si>
    <t>eiao@uanl.mx</t>
  </si>
  <si>
    <t>(81) 8318-2200</t>
  </si>
  <si>
    <t>María del Carmen Aguilar Macías (Unidad Mty I)</t>
  </si>
  <si>
    <t>maria.aguilarmc@uanl.edu.mx</t>
  </si>
  <si>
    <t>Rafael Alfredo Cavazos Martínez</t>
  </si>
  <si>
    <t>rafael.cavazosmrt@uanl.edu.mx</t>
  </si>
  <si>
    <t>Pablo Livas</t>
  </si>
  <si>
    <t>Mtro. José Andrés Moreno Banda</t>
  </si>
  <si>
    <t>pablolivas@uanl.mx</t>
  </si>
  <si>
    <t>(81) 8345-6774 / 8342-2613</t>
  </si>
  <si>
    <t>Elda Lisseth García Juárez (Unidad Poniente)</t>
  </si>
  <si>
    <t>elda.garciajr@uanl.edu.mx</t>
  </si>
  <si>
    <t>Ricardo De Jesús Ruiz Gómez</t>
  </si>
  <si>
    <t>rruizg@uanl.edu.mx</t>
  </si>
  <si>
    <t>CIDEB</t>
  </si>
  <si>
    <t>Dr. Socorro Guajardo González</t>
  </si>
  <si>
    <t>cideb@uanl.mx</t>
  </si>
  <si>
    <t>(81) 8329-4170 / 8349-2543</t>
  </si>
  <si>
    <t>Roberto Antonio Rodríguez Molina</t>
  </si>
  <si>
    <t>roberto.rodriguezml@uanl.edu.mx</t>
  </si>
  <si>
    <t>Sergio Gallegos López</t>
  </si>
  <si>
    <t>sgallegosl@uanl.edu.mx</t>
  </si>
  <si>
    <t>Prep. Técnica Médica</t>
  </si>
  <si>
    <t>Dra. Arnulfa Martha Faustino Morales</t>
  </si>
  <si>
    <t>tecnicamedica@uanl.mx</t>
  </si>
  <si>
    <t>(81) 8371-3310 / 8371-3560</t>
  </si>
  <si>
    <t>Dinorah Monserrat Buentello Segura</t>
  </si>
  <si>
    <t>monserrat.buentellosgr@uanl.edu.mx</t>
  </si>
  <si>
    <t>Plantel Apodaca (Metróplex)</t>
  </si>
  <si>
    <t>Roxana Rodríguez</t>
  </si>
  <si>
    <t>Director / Enlace</t>
  </si>
  <si>
    <t>roxana.rodriguez@cecytenl.edu.mx</t>
  </si>
  <si>
    <t>81-8306-6799 / 81-8302-6799</t>
  </si>
  <si>
    <t>Plantel Cadereyta</t>
  </si>
  <si>
    <t>Agustín Acosta</t>
  </si>
  <si>
    <t>agustin.acosta@cecytenl.edu.mx</t>
  </si>
  <si>
    <t>81-2745-9953</t>
  </si>
  <si>
    <t>Plantel Allende</t>
  </si>
  <si>
    <t>cecyteplantelallende@gmail.com</t>
  </si>
  <si>
    <t>82-6268-7680 / 82-6268-7681</t>
  </si>
  <si>
    <t>Plantel Aramberri</t>
  </si>
  <si>
    <t>Claudia Banda</t>
  </si>
  <si>
    <t>claudia.banda@cecytenl.edu.mx</t>
  </si>
  <si>
    <t>82-6213-2160</t>
  </si>
  <si>
    <t>Plantel Agualeguas</t>
  </si>
  <si>
    <t>Emilio Vázquez</t>
  </si>
  <si>
    <t>emilio.vazquez@cecytenl.edu.mx</t>
  </si>
  <si>
    <t>892-991-0773 / 892-991-0774</t>
  </si>
  <si>
    <t>Plantel Abasolo</t>
  </si>
  <si>
    <t>Rolando Cisneros</t>
  </si>
  <si>
    <t>rolando.cisneros@cecytenl.edu.mx</t>
  </si>
  <si>
    <t>81-4646-2951</t>
  </si>
  <si>
    <t>Plantel Bustamante (EMSAD)</t>
  </si>
  <si>
    <t>José Gaytán</t>
  </si>
  <si>
    <t>jose.gaytan@cecytenl.edu.mx</t>
  </si>
  <si>
    <t>829-246-0435</t>
  </si>
  <si>
    <t>Plantel Cerralvo (EMSAD)</t>
  </si>
  <si>
    <t>Daniel Segura</t>
  </si>
  <si>
    <t>daniel.segura@cecytenl.edu.mx</t>
  </si>
  <si>
    <t>892-975-1712 / 892-100-1774</t>
  </si>
  <si>
    <t>Plantel El Carmen</t>
  </si>
  <si>
    <t>Marco Ordóñez</t>
  </si>
  <si>
    <t>marco.ordonez@cecytenl.edu.mx</t>
  </si>
  <si>
    <t>81 2472 6927 / 81-8028-9231</t>
  </si>
  <si>
    <t>Plantel Escobedo I</t>
  </si>
  <si>
    <t>81-8058-3695 / 81-8058-3679</t>
  </si>
  <si>
    <t>Plantel Doctor González</t>
  </si>
  <si>
    <t>drgonzalez@cecytenl.edu.mx</t>
  </si>
  <si>
    <t>825-241-0272</t>
  </si>
  <si>
    <t>Plantel Ciénega de Flores</t>
  </si>
  <si>
    <t>Plantel Escobedo II</t>
  </si>
  <si>
    <t>Plantel García</t>
  </si>
  <si>
    <t>Plantel Guadalupe</t>
  </si>
  <si>
    <t>Plantel Juárez</t>
  </si>
  <si>
    <t>Plantel Linares</t>
  </si>
  <si>
    <t>821 212 7525</t>
  </si>
  <si>
    <t>Plantel Marín</t>
  </si>
  <si>
    <t>825 248 0546 / 825 248 0551</t>
  </si>
  <si>
    <t>Plantel Pesquería</t>
  </si>
  <si>
    <t>Plantel Sabinas Hidalgo</t>
  </si>
  <si>
    <t>Plantel Salinas Victoria</t>
  </si>
  <si>
    <t>Plantel San Nicolás</t>
  </si>
  <si>
    <t>Plantel Santa Catarina</t>
  </si>
  <si>
    <t>Plantel Santiago</t>
  </si>
  <si>
    <t>Plantel Doctor Arroyo</t>
  </si>
  <si>
    <t>Plantel Galeana</t>
  </si>
  <si>
    <t>Plantel Mier y Noriega</t>
  </si>
  <si>
    <t>Plantel Lampazos</t>
  </si>
  <si>
    <t>Plantel Mina</t>
  </si>
  <si>
    <t>plantel332@conalepnl.edu.mx</t>
  </si>
  <si>
    <t>(828) 111-0588</t>
  </si>
  <si>
    <t>Plantel Joel Rocha Barocio</t>
  </si>
  <si>
    <t>plantel300@conalepnl.edu.mx</t>
  </si>
  <si>
    <t>(825) 238-5811 / (825) 238-5008</t>
  </si>
  <si>
    <t>Plantel Dr. Arroyo</t>
  </si>
  <si>
    <t>plantel135@conalepnl.edu.mx</t>
  </si>
  <si>
    <t>(488) 888-0176 / (488) 888-0464</t>
  </si>
  <si>
    <t>Plantel José María Parás y Ballesteros</t>
  </si>
  <si>
    <t>plantel314@conalepnl.edu.mx</t>
  </si>
  <si>
    <t>(286) 688-0946</t>
  </si>
  <si>
    <t>Plantel Ing. Adrián Sada Treviño (Mty I)</t>
  </si>
  <si>
    <t>plantel254@conalepnl.edu.mx</t>
  </si>
  <si>
    <t>(81) 8339-0022 / (81) 8381-2280</t>
  </si>
  <si>
    <t>Plantel San Bernabé (Mty II)</t>
  </si>
  <si>
    <t>plantel333@conalepnl.edu.mx</t>
  </si>
  <si>
    <t>(81) 8301-2912</t>
  </si>
  <si>
    <t>Plantel Lic. José Antonio Padilla Segura I</t>
  </si>
  <si>
    <t>plantel037@conalepnl.edu.mx</t>
  </si>
  <si>
    <t>(81) 8379-7660 / (81) 8379-4218</t>
  </si>
  <si>
    <t>Plantel Dr. Carlos Canseco González</t>
  </si>
  <si>
    <t>plantel289@conalepnl.edu.mx</t>
  </si>
  <si>
    <t>(81) 1088-3995 / (81) 1088-3996 / (81) 1088-3997</t>
  </si>
  <si>
    <t>Plantel Don Víctor Gómez Garza</t>
  </si>
  <si>
    <t>plantel295@conalepnl.edu.mx</t>
  </si>
  <si>
    <t>(81) 8282-3855 / (81) 8282-3893 / (81) 8282-3894</t>
  </si>
  <si>
    <t>Plantel Lic. Raúl Rangel Frías</t>
  </si>
  <si>
    <t>plantel038@conalepnl.edu.mx</t>
  </si>
  <si>
    <t>(81) 8360-9151 / (81) 8360-1051</t>
  </si>
  <si>
    <t>Plantel Ing. Gustavo M. de la Garza Ortega</t>
  </si>
  <si>
    <t>plantel091@conalepnl.edu.mx</t>
  </si>
  <si>
    <t>(81) 8313-8320 / (81) 8313-8321 / (81) 8313-8296</t>
  </si>
  <si>
    <t>Plantel Don Humberto Lobo Villarreal</t>
  </si>
  <si>
    <t>plantel242@conalepnl.edu.mx</t>
  </si>
  <si>
    <t>(81) 8388-1007 / (81) 8388-0975</t>
  </si>
  <si>
    <t>Plantel Gral. Escobedo</t>
  </si>
  <si>
    <t>Plantel Dr. Eduardo Macías Santos</t>
  </si>
  <si>
    <t>plantel123@conalepnl.edu.mx</t>
  </si>
  <si>
    <t>(81) 8331-0510 / (81) 8351-8433</t>
  </si>
  <si>
    <t>Plantel Prof. y Gral. Antonio I. Villarreal</t>
  </si>
  <si>
    <t>Plantel Don Carlos Maldonado Elizondo</t>
  </si>
  <si>
    <t>plantel290@conalepnl.edu.mx</t>
  </si>
  <si>
    <t>(81) 2450-2249 / (81) 2450-2252</t>
  </si>
  <si>
    <t>Plantel Don Benjamín Salinas Westrup</t>
  </si>
  <si>
    <t>plantel296@conalepnl.edu.mx</t>
  </si>
  <si>
    <t>(81) 8233-6916 / (81) 8233-6917</t>
  </si>
  <si>
    <t>Plantel Don José María Hernández Martínez</t>
  </si>
  <si>
    <t>plantel213@conalepnl.edu.mx</t>
  </si>
  <si>
    <t>(81) 8313-8685 / (81) 8313-8689</t>
  </si>
  <si>
    <t>Plantel Don Protasio Rodríguez Cuéllar</t>
  </si>
  <si>
    <t>plantel090@conalepnl.edu.mx</t>
  </si>
  <si>
    <t>(821) 212-6930</t>
  </si>
  <si>
    <t>Plantel Lic. Bárbara Herrera de Garza</t>
  </si>
  <si>
    <t>CBTis 22</t>
  </si>
  <si>
    <t>Director(a) / Enlace institucional</t>
  </si>
  <si>
    <t>No publicado</t>
  </si>
  <si>
    <t>CBTis 53</t>
  </si>
  <si>
    <t>Ruth Esperanza Vallejo Piedra</t>
  </si>
  <si>
    <t>cbtis53@hotmail.com</t>
  </si>
  <si>
    <t>(81) 8386-1020 / 8386-1076</t>
  </si>
  <si>
    <t>CBTis 74</t>
  </si>
  <si>
    <t>cbtis074.dir@dgeti.sems.gob.mx</t>
  </si>
  <si>
    <t>(81) 8323-2450 / 8323-2451 / 8323-3140</t>
  </si>
  <si>
    <t>CBTis 99</t>
  </si>
  <si>
    <t>CBTis 258</t>
  </si>
  <si>
    <t>cbtis258.dir@dgeti.sems.gob.mx</t>
  </si>
  <si>
    <t>(81) 8397-1666</t>
  </si>
  <si>
    <t>CETis 66</t>
  </si>
  <si>
    <t>Jorge Padilla Gonzalez</t>
  </si>
  <si>
    <t>cetis066.vinculacion@dgeti.sems.gob.mx</t>
  </si>
  <si>
    <t>(81) 8338-5392 / 8338-6367</t>
  </si>
  <si>
    <t>CETis 101</t>
  </si>
  <si>
    <t>cetis101.dir@dgeti.sems.gob.mx</t>
  </si>
  <si>
    <t>(81) 8360-1760</t>
  </si>
  <si>
    <t>CETis 163</t>
  </si>
  <si>
    <t>cetis163.dir@dgeti.sems.gob.mx</t>
  </si>
  <si>
    <t>(826) 263-6107</t>
  </si>
  <si>
    <t>CBTA 29 — Linares</t>
  </si>
  <si>
    <t>CBTA 48 — Galeana</t>
  </si>
  <si>
    <t>CBTA 50 — Anáhuac</t>
  </si>
  <si>
    <t>CBTA 58 — Galeana</t>
  </si>
  <si>
    <t>CBTA 59 — Galeana (Ejido San Rafael)</t>
  </si>
  <si>
    <t>CBTA 73 — Aramberri (La Ascensión)</t>
  </si>
  <si>
    <t>CBTA 74 — Cadereyta Jiménez (Ejido Tepehuaje)</t>
  </si>
  <si>
    <t>CBTA 157 — Doctor Arroyo</t>
  </si>
  <si>
    <t>CBTA 249 — Sabinas Hidalgo</t>
  </si>
  <si>
    <t>Elsa Anneidy Lozano Juárez</t>
  </si>
  <si>
    <t>Enlace institucional (CMAO)</t>
  </si>
  <si>
    <t>nl.cbta249.direccion@dgetaycm.sems.gob.mx</t>
  </si>
  <si>
    <t>824 242 5250</t>
  </si>
  <si>
    <t>CBTA 250 — General Escobedo</t>
  </si>
  <si>
    <t>Erika Karina Hinojosa García</t>
  </si>
  <si>
    <t>erikahinojosa250@dgetaycm.sems.gob.mx</t>
  </si>
  <si>
    <t>81 8706 4491</t>
  </si>
  <si>
    <t>DGETAyCM — Dirección General</t>
  </si>
  <si>
    <t>Mario Hernández González</t>
  </si>
  <si>
    <t>Director General</t>
  </si>
  <si>
    <t>(55) 3600 2511 Ext. 64048 / 64097</t>
  </si>
  <si>
    <t>Correo</t>
  </si>
  <si>
    <t>821 219 33 36</t>
  </si>
  <si>
    <t>DGETAyCM — Coordinación estatal</t>
  </si>
  <si>
    <t>(81) 8374-1120</t>
  </si>
  <si>
    <t>victor.rodriguez@dgetaycm.sems.gob.mx</t>
  </si>
  <si>
    <t>daniel.pacheco@dgetaycm.sems.gob.mx</t>
  </si>
  <si>
    <t>Municipio,Plantel,Direccion,Telefono,Email,Redes_Sociales,Horario,Ubicacion_Maps,Oferta_Educativa</t>
  </si>
  <si>
    <t>Allende,"CECYTE Allende","Educación y Deporte No. 1113 Sur, Parque Industrial","82-6268-7680 / 82-6268-7681","","","7:30 a 15:30 hrs.","https://maps.app.goo.gl/6NjJcGS3wh5ht3VX6","Bachillerato Tecnológico en: Ofimática, Logística, Contabilidad"</t>
  </si>
  <si>
    <t>Allende,"CONALEP 'José María Parás y Ballesteros'","Carr. Allende-cadereyta Km.31, Col. Los Sabinos","82-6688-0155 / 82-6688-0946","plantel314@nl.conalepnl.edu.mx","Fb: @conalpallende","8:00 a 14:00 hrs","https://maps.app.goo.gl/rsfpXEcvsvxefKA","Profesional Técnico Bachiller en: Autotransporte, Motores a Diésel, Contabilidad"</t>
  </si>
  <si>
    <t>Allende,"Preparatoria No. 13, UANL","Felicitos Rodríguez s/n, Col. Parque Industrial","82-6268-5488 / 82-6268-5489","paeprepa13uanl@hotmail.com","Fb: Preparatoria 13 UANL | Insta: Preparatoria 13 UANL","8:00 a 15:00 hrs.","https://maps.app.goo.gl/DBhuuCjbPQP56RIMA","Bachillerato General | Bachillerato Técnico: Aplicaciones Audiovisuales"</t>
  </si>
  <si>
    <t>Anáhuac,"CBTA No. 50","Comunidad La Zacatosa s/n","81-1066-1805","nl.cbta050.direccion@dgetaycm.sems.gob.mx","Fb: Cbta Anahuac","8:00 a 16:00 hrs","https://maps.app.goo.gl/mTdm3zhitNxPG9vK6","Bachillerato Técnico en: Agropecuario, Ofimática, Administración de Recursos Humanos"</t>
  </si>
  <si>
    <t>Apodaca,"CECYTE Apodaca","Av. La Concordia, entre E-4ª. y Malí s/n, Col. Metróplex","81-8306-6799","Roxana.rodriguez@cecytenl.edu.mx","","8:00 a 12.00 y 13.00 a 16.00hrs.","https://maps.app.goo.gl/CABwLoBFjESupo67","Bachillerato Tecnológico Bivalente en: Logística, Programación, Electromecánica, Mecatrónica, Mecánica Automotriz, Mantenimiento de Sistemas Automáticos"</t>
  </si>
  <si>
    <t>Apodaca,"CONALEP Dr. Carlos Canseco González","Gaspar Castaño y Rodesia s/n, Fracc. Villas de San Carlos, 2°. Sec.","81-1088-3995, 96 y 97","plantel289@nl.conalep.edu.mx","Fb: Carlos Canseco Gonzalez","8:00 a 17:00 hrs.","https://maps.app.goo.gl/auZeEaYmLzeyKD7j9","Profesional Técnico Bachiller Presencial en: Autotrónica, Construcción, Electromecánica Industrial, Máquinas-Herramienta"</t>
  </si>
  <si>
    <t>Apodaca,"CIDEB-APODACA, UANL","Prof. Humberto Ramos Lozano Km 2.9, Col. Rinconada","81-8329-4000 ext: 1000","eric.garzal@uanl.mx","","7:00 am y de 12:00 pm","https://maps.app.goo.gl/RRNsemafHKmJjCC99","Bachillerato General, Bachillerato Técnico en: Administrador Contable"</t>
  </si>
  <si>
    <t>Apodaca,"CBTIS No. 53 Francisco Ignacio Madero González","Carr. Apodaca -Sta. Rosa No. 566. Col. Centro","81-1332-0127","","Fb: CBTis53","07:00 a 14:00 hrs.","https://maps.app.goo.gl/cxh2Zn4WzTAgbuG06","Bachillerato Técnico en: Logística, Mantenimiento Industrial, Mantenimiento Automotriz, Mecánica Industrial, Electromovilidad, Programación"</t>
  </si>
  <si>
    <t>Apodaca,"Preparatoria No. 1, UANL","Elías Flores y Miguel Hidalgo s/n, Centro Apodaca","81-8329-4000 Ext: 1000, 1002 y 1009","jesus.palaciosc@uanl.edu.mx","Fb: Preparatoria N1 UANL","8:00 a 16:00 hrs","https://maps.app.goo.gl/NWDnYFzNJ9qFLixP7","Bachillerato General, Bilingüe y Bilingüe Progresivo (inglés y francés) | Bachillerato General Bilingüe mixta"</t>
  </si>
  <si>
    <t>Apodaca,"Colegio Maranatha la Fe","Rafael Martinez 102, Campestre CTM","81-8658-4554","ginaespindola@maranathalafe.edu.mx","Fb: maranathalafe","7:30 a 14:00 hrs","https://maps.app.goo.gl/sq9RPUqq1mf3FUDq5","Bilingüe ingles Escolarizada"</t>
  </si>
  <si>
    <t>Apodaca,"Colegio Laura Vicuña","Jose Ovalle # 130 Campestre Encarnación","81-2983-3688","deyra.hernandezv@uanl.edu.mx","","7:00 a 17:00 hrs.","https://maps.app.goo.gl/vbqL3BNhHxQRzBQ4A","Bachillerato Bilingüe"</t>
  </si>
  <si>
    <t>Apodaca,"Colegio Militarizado 'General Mariano Escobedo' Plantel Apodaca","7a Zona Militar, Entronque Laredo- N.L., Nuevo Leon 100","81-1339-2250","","","7:00 a 17:30 hrs.","https://maps.app.goo.gl/TL3s8VenGENvrVtZ8","Bachillerato General"</t>
  </si>
  <si>
    <t>Aramberri,"CECYTE ARAMBERRI","Camino a Los Cuartos s/n Col. Centro","82-6213-2160","claudia.banda@cecytenl.edu.mx","Fb: Cecyte Aramberri","10:00 a 19:00 hrs.","https://maps.app.goo.gl/Fw5mpYdtRvQiUPwbA","Bachillerato Tecnológico en: Electricidad, Programación"</t>
  </si>
  <si>
    <t>Aramberri,"CBTA No. 73","Km. 3 Carr. La Ascensión - Sandia el Grande, Col. La Ascensión","82-6103-1726 / 82-6100-4204","nl.cbta073.direccion@dgetaycm.sems.gob.mx","","8:00 a 16:00 hrs.","https://maps.app.goo.gl/28tz3Rmob7nXMVsU7","Bachillerato Técnico en: Agropecuario, Ofimática, Agricultura Protegida"</t>
  </si>
  <si>
    <t>Cadereyta,"CECYTE Cadereyta","Manzano No. 100, Fracc. Casa Blanca","81-2745-9953","agustin.acosta@cecytenl.edu.mx","","8:00 a 16:00 hrs.","https://maps.app.goo.gl/EXVZZo2UtaBGC2Pd8","Bachillerato Tecnológico en: Ofimática, Procesos de Gestión Administrativa, Instrumentación Industrial, Mantenimiento Industrial"</t>
  </si>
  <si>
    <t>Cadereyta,"CONALEP Cadereyta","Cuauhtémoc No.505 Pte., Centro","82-8111-0588","","Fb: Conalep Cadereyta","7:00 a 18:00 hrs.","https://maps.app.goo.gl/nF4fTckorpLKRw9y6","Profesional Técnico Bachiller en: Electromecánica Industrial, Fuentes Alternas de Energía, Seguridad e Higiene y Protección Civil"</t>
  </si>
  <si>
    <t>Cadereyta,"CBTA No. 74","Gorgonio Aguirre Martínez s/n, Col. Ejido Tepehuaje","81-8260-6174","nl.cbta074.direccion@dgetaycm.sems.gob.mx","Fb: CBTa 74 Cadereyta | Insta: CBta 74_Cadereyta","8:00 a 16:00 hrs.","https://maps.app.goo.gl/hitHWHFBzvH61ihX7","Bachillerato Técnico Presencial en: Agropecuario, Ofimática, Tec. en administración Recursos Humanos"</t>
  </si>
  <si>
    <t>Cadereyta,"CBTA No. 74, Ext. Atongo","Pino Suárez y Revolución s/n, Atongo de Abajo","82-1118-2909","lauragonzalez74@dgetaycm.sems.gob.mx","Fb: cbta74.atongo","","https://maps.app.goo.gl/6mAymD4GiFxeCYnE8","Bachillerato Técnico en: Administración en Recursos Humanos"</t>
  </si>
  <si>
    <t>Cadereyta,"IUSAM-Unidad Cadereyta","Calle Benito Juarez No. 502","82-8688-4586","institutoiusam@gmail.com","Fb: IUSAM Oficial Cadereyta","L-V 7:00 a 20:00","https://maps.app.goo.gl/A4bu4SLTCM1rNYDR9","Bachillerato General"</t>
  </si>
  <si>
    <t>Cadereyta,"Preparatoria No. 12, UANL","Blvd. José M. González km. 1","82-8284-2616 ext. 101 | WA: 82-8143-2339","preparatoria12@hotmail.com","Fb: Prepa12UANL | Insta: prepa12uanl","8:00 a 17:00 hrs.","https://maps.app.goo.gl/cwwoGXaE61dsBSWZ9","Bachillerato General, Bilingüe Progresivo (inglés y francés), Técnico en Nutrición, Mixto"</t>
  </si>
  <si>
    <t>Cerralvo,"Preparatoria No. 11, UANL","Bravo y Parás s/n, Zona Centro","89-2975-0754 / 89-2975-1899","preparatoria11@uanl.mx","Fb/X: Prepa11UANL","8:00 a 15:00 hrs. (L-V)","https://maps.app.goo.gl/9CkJ7E1Nqz1mUivX6","Bachillerato General Propedéutico | Bachillerato Técnico en: Aplicaciones Audiovisuales, Administrador Contable"</t>
  </si>
  <si>
    <t>China,"Preparatoria No. 21, UANL","Carretera Mty-Reynosa km 115","82-3232-0864","zelica.perezl@uanl.mx","Fb: Prepa 21 UANL | X: @prepa21uanl","7:40 a 14:40 hrs.","https://maps.app.goo.gl/eFrcKgfHdBWLPcsZ6","Bachillerato General y Bilingüe Progresivo Técnico: Administrador Contable"</t>
  </si>
  <si>
    <t>Ciénega de Flores,"CONALEP Joel Rocha Barocio","Camino a Tierra Blanca km 1.5, Comunidad Anastasia de Treviño","82-5238-5811 / 82-5238-1109","esc300.nl.adm@nl.conalepnl.edu.mx","Fb: Conalep300jrb","9:00 a 17:00 hrs.","https://maps.app.goo.gl/Njkxi74Lwy9CqDQE7","Profesional Técnico Bachiller en: Mecatrónica, Ciencia de Datos e Inteligencia Artificial, Electromecánica, Máquinas y Herramienta"</t>
  </si>
  <si>
    <t>Ciénega de Flores,"Preparatoria No. 17, UANL","Carr. Libre a Laredo Km 32, Col. Real del Sol","82-5238-0619","ana.medinar@uanl.mx","Fb: preparatoria17uanl","8:00 a 15:00 hrs.","https://maps.app.goo.gl/VqKLP3D7bQ5qWVePA","Bachillerato General, Bilingüe Progresivo, Técnico en Sistemas Computacionales, Técnico en Mecánica Automotriz y Autotrónica"</t>
  </si>
  <si>
    <t>Dr. Arroyo,"CBTA No. 157 María Andrea Villarreal González","Ejido San Cayetano de Vacas","48-8124-3386","nl.cbta157.direccion@dgetaycm.sems.gob.mx","Fb: CBTA 157","8:00 a 16:00 hrs.","https://maps.app.goo.gl/Kk1gbn3vKxJq5AAMA","Bachillerato Tecnológico Presencial en: Agropecuario, Ofimática"</t>
  </si>
  <si>
    <t>Dr. Arroyo,"CONALEP Plantel Dr. Arroyo","José Ma. Morelos No. 31, Col. Alfonso Martínez Dominguez","48-8888-0176","esc135.nl.adm@nl.conalep.edu.mx","Fb: Conalep Doctor Arroyo | X: Conalep_nl","9:00 a 18:00 hrs.","https://maps.app.goo.gl/tLcjfZEq45YyGSEg5","Profesional Técnico Bachiller en: Contabilidad, Enfermería General, Electromecánica Industrial"</t>
  </si>
  <si>
    <t>Dr. Arroyo,"Preparatoria No. 10, UANL","Carr. Dr. Arroyo-Matehuala km 49, Centro","48-8888-0218","","Fb: preparatoria 10 UANL","8:00 a 15:00 hrs.","https://maps.app.goo.gl/4CUP7co8WEK4m3Hi6","Bachillerato General mixta en línea, Bilingüe Progresivo mixta en línea"</t>
  </si>
  <si>
    <t>El Carmen,"CECYTE El Carmen","Lazaro Cárdenas 305, Centro","81-2745-8023","angele.cisneros@cecytenl.edu.mx","Fb: Cecyte Carmen","10:00 a 18:00 hrs.","https://maps.app.goo.gl/GdHR3EvJZ2dnidDc7","Bachillerato Tecnológico: Mantenimiento Industrial, Ventas, Mecatrónica, Fundición de Metales y Acabados Industriales"</t>
  </si>
  <si>
    <t>Escobedo,"CBTA 250","Ave. Donato Elizondo s/n, Col. Las Encinas","81-8397-5338","ml.cbta250.depservesc@dgetaycm.sems.gob.mx","Fb: CBTA#250","9:00 a 13:00hrs.","https://maps.app.goo.gl/ohwpPEJ8d21Cc2HX8","Bachillerato Técnico en: Admón. de Recursos Humanos, Ofimática"</t>
  </si>
  <si>
    <t>Escobedo,"CECYTE Escobedo I","Av. Gral. Mariano Escobedo No.571, Col. Los Altos","","escobedo@cecytenl.edu.mx","Fb: CECYTENL OFICIAL | Insta: CECYTENL","8 a 12:00 y 15 a 16:00 hrs.","https://maps.app.goo.gl/M6hEt2kqevaz4G42A","Bachillerato Tecnológico en: Logística, Mantenimiento Industrial, Mecatrónica, Servicios de Hotelería, Transformación de Plásticos, Programación"</t>
  </si>
  <si>
    <t>Escobedo,"CECYTE Gral. Escobedo II Alianza Real","Av. Camino Antiguo San Miguel s/n, Col. Alianza Real 1° Sec.","81-1059-4287","","","9.00 a 15.00 hrs.","https://maps.app.goo.gl/wZ1qtDG9q1Fvzyed7","Bachillerato Técnico en: Electromecánica, Procesos de Gestión Administrativa, Producción Industrial"</t>
  </si>
  <si>
    <t>Escobedo,"CBTIS No. 258 Mariano Escobedo de la Peña","Plinio D. Ordoñez No. 801, Col. Hacienda del Topo","81-1094-5254","nuevoingreso2025@cbtis258.edu.mx","Fb: Cbtis Escobedo Dgeti","08:00 a 18:00 hrs.","https://maps.app.goo.gl/jTVHTRcu9jzqUJGh7","Bachillerato Tecnológico en: Programación, Mecánica Industrial, Servicios al Huésped, Alimentos y Bebidas, Contabilidad, Logística, Autotransporte, IA"</t>
  </si>
  <si>
    <t>Escobedo,"Colegio Militarizado 'General Mariano Escobedo' Plantel Escobedo","Fernando Amilpa, 66052 Cdad. Gral. Escobedo","81-3191-5090","","","7:00 a 2:00 hrs.","https://maps.app.goo.gl/NGmPpzwbwpLVwowm8","Bachillerato General"</t>
  </si>
  <si>
    <t>Escobedo,"Preparatoria No. 25 Dr. Eduardo Aguirre Pequeño, UANL","Francisco Villa y José Ma. Morelos s/n, Col. Ex-Hacienda El Canadá","81-8058-0183 / 81-8058-4483","paeprepa25@gmail.com","Fb: Preparatoria N25 UANL","9:00 a 15:00 hrs.","https://maps.app.goo.gl/AZ6CBMzNbMuMh5KeA","Bachillerato General Presencial"</t>
  </si>
  <si>
    <t>Escobedo,"Colegio Antonio Machado Campus Escobedo","Fuentes del sol #106, Fuentes de Escobedo","55-4017-3033","isaac.spindolab@uanl.edu.mx","","7:00 a 15:00 hrs.","https://maps.app.goo.gl/T7u1EK6hUww8RnHW8","Bachillerato General"</t>
  </si>
  <si>
    <t>Galeana,"CBTA No. 48","Allende y Nigromante s/n, Ejido Catarino Rodríguez","81-2749-7118","francisca7520@hotmail.com","Fb: Cbtacuarentayocho NL","8:00 a 15:00 hrs.","https://maps.app.goo.gl/3aZPLDYCVdHvKoAR8","Bachillerato Técnico en: Agropecuario, Soporte y Mantenimiento de Equipo de Cómputo"</t>
  </si>
  <si>
    <t>Galeana,"CBTA No. 58 Gral. Mariano Escobedo de la Peña","Carr. Ejido 18 de marzo Km 6.5, Ejido La Laguna","82-6213-7077","nl.cbta058.direccion@dgetaycm.sems.gob.mx","Fb: C.B.T.a 58","8:00 a 16:30 hrs.","https://maps.app.goo.gl/YLFFa6GpquWX2yZq8","Bachillerato Técnico en: Agropecuario, Informática"</t>
  </si>
  <si>
    <t>Galeana,"CBTA No. 59 Profr. Candelario Aguillón Quiroz","Carr. 57, km. 177.5, Ejido San Rafael","(045) 8442-0621-83","nl.cbta59.direccion@dgetaycm.sems.gob.mx","Fb: cbta59sanrafael","8:00 a 16:00 hrs.","https://maps.app.goo.gl/oEh7A3VHHctvuNR7A","Bachillerato Técnico Presencial en: Agropecuario (Escolarizado y auto planeado), Ofimática"</t>
  </si>
  <si>
    <t>Galeana,"Colegio Militarizado 'General Mariano Escobedo' Plantel Galeana","Carr. a 18 de Marzo SN, Ej. Bronswille","","","","7:00 a 18:00 hrs.","https://maps.app.goo.gl/ER64xodH7vHmeEhw8","Bachillerato General"</t>
  </si>
  <si>
    <t>Galeana,"Preparatoria No. 4, Unidad Galeana, UANL","Las coordeladas 200 pte","82-6169-8637","atiendas@uanl.edu.mx","Fb: prepa4galeana | X: @Prepa4_UANL","8:00 a 15:00 hrs. (L-V)","https://maps.app.goo.gl/389qxQsiMMhj8syPA","Bachillerato General Presencial (2 años) | Bachillerato Técnico Presencial (3 años): Administrador Contable"</t>
  </si>
  <si>
    <t>García,"CECYTE García I","Fray Pedro de Gante s/n, Col. Juan A. Sobrevilla","81-2745-8140","plantelgarcia@cecytenl.edu.mx","Fb: cecytegarcia1","08:30 a 15:30 hrs.","https://maps.app.goo.gl/qoRSH9U7gLevoHFs9","Bachillerato Tecnológico en: Mecatrónica, Programación, Procesos de Gestión Administrativa, Logística, Electrónica, Electromovilidad"</t>
  </si>
  <si>
    <t>García,"CECYTE García II","Calle Titanio s/n, esq. con Silicio, Col. Paseo de las Minas","81-2169-36-42 / 81-2164-1000","garcia2@cecytenl.edu.mx","Fb: CECYTE Nuevo León","8:00 a 17:00 hrs.","https://maps.app.goo.gl/CMg9sVBp7mXmt4Zw9","Bachillerato Tecnológico en: Logística, Máquinas-Herramienta, Transformación de Plásticos, Electromovilidad"</t>
  </si>
  <si>
    <t>García,"CBTIS No. 299 García","Hospital los angeles S/N, valle de San Blas","8183384941","cbtis299.dir@dgeti.sems.gob.mx","","","https://maps.app.goo.gl/RRg87qTtd4xXW6mZA","Bachillerato Tecnológico"</t>
  </si>
  <si>
    <t>García,"Preparatoria No. 19, UANL","Lic. Genaro Garza García, Col. Centro","81-8283-0032 / 81-8283-0049","preparatoria19@uanl.mx","Fb: Preparatoria N 19 UANL","7:30 a 19:30 hrs.","https://maps.app.goo.gl/jgyTwuKydWpB9ES19","Bachillerato General, Bilingüe Progresivo, Técnico en: Administrador Contable, Diseño y Com. Visual, Gastronomía, Sistemas"</t>
  </si>
  <si>
    <t>García,"CIDEB-GARCÍA, UANL","Avenida Lincoln y Libramiento Noroeste, Mitras Poniente","81-8329-4180","escolar.cideb@uanl.mx","Fb: CIDEB.REDUANL","9:00 a 15:00 hrs","","Bachillerato General Bilingüe"</t>
  </si>
  <si>
    <t>García,"Colegio Militarizado 'General Mariano Escobedo' Plantel Garcia","Av. ABRAHAM LINCOLN Y LIBRAMIENTO","81-1091-2232","","","7:00 a 17:30 hrs.","https://maps.app.goo.gl/88GpazuczxNDwkfu7","Bachillerato General"</t>
  </si>
  <si>
    <t>General Terán,"Preparatoria No. 14, UANL","Miguel Hidalgo y Vicente Guerrero s/n, Col. Centro","82-6129-5335","ediazc@uanl.edu.mx","Fb: PREPA 14 UANL","7:30 a 16:00 hrs.","https://maps.app.goo.gl/jJqd2DjzzkFmw2tR9","Bachillerato General Escolarizada, Bilingüe Progresivo Mixto en Línea, Técnico en: Administrador Contable, Enfermería, Gastronomía, Electricista"</t>
  </si>
  <si>
    <t>General Zuazua,"CECYTE Gral. Zuazua","Bari y Oporto s/n, Col. Real San Pedro","81-2517-2776","alba.flores@cecytenl.edu.mx","","8:00 a 16:00 hrs.","https://maps.app.goo.gl/BxHtqMxw9QhTAmq97","Bachillerato Tecnológico en: Logística, Mantenimiento Industrial, Procesos de Gestión Administrativa"</t>
  </si>
  <si>
    <t>Guadalupe,"CBTIS No. 74","Tenochtitlán y Teotihuacán s/n, Col. Infonavit La Joya 3º Sector","81-8323-2451","","Fb: CBTIS 74 Oficial","7:00 a 21:00 hrs.","https://maps.app.goo.gl/QkXLoJqiHKX20EVRA","Bachillerato Tecnológico Escolarizada en: Laboratorista Químico, Contabilidad, Electrónica"</t>
  </si>
  <si>
    <t>Guadalupe,"CETIS No. 101 Valentín Canalizo","Ave. Arturo B. de la Garza y Ave. Eloy Cavazos S/N","81-8361-6676","cetis101.escolares@dgeti.sems.gob.mx","Fb: Cetis 101","8:00 a 20:00 hrs.","https://maps.app.goo.gl/wQqhyGyD1arf1A5N6","Bachillerato Tecnológico en: Secretariado Ejecutivo Bilingüe, Contabilidad, Programación, Ciencias de datos e Inteligencia Artificial"</t>
  </si>
  <si>
    <t>Guadalupe,"CONALEP Lic. Raúl Rangel Frías (Guadalupe 1)","Ave. Serafín Peña y Emiliano Zapata s/n, Col. Gpe. Victoria","81-8360-1051","plantel038@conalepnl.edu.mx","Fb: Conalep Lic. Raúl Rangel Frias","9:00 a 18:00 hrs","https://maps.app.goo.gl/wxWDhAm8wUYkiyYE8","Profesional Técnico Bachiller en: Asistente Directivo, Mantenimiento Automotriz, Mantenimiento en Sistemas Electrónicos, Máquinas-Herramienta"</t>
  </si>
  <si>
    <t>Guadalupe,"CONALEP Don Victor Gómez Garza (Guadalupe II)","Miguel Ramos Arizpe s/n, Fracc. Industrial la Silla","81-8282-3855 Ext. 115","esc295.nl.adml@conalep.edu.mx","Fb: Conalep Don Victor Gomez Garza","8:00 a 17:00 hrs.","https://maps.app.goo.gl/8Am2dAhMcbeJM8Ku9","Bachillerato Técnico Escolarizada en: Mecatrónica, Metalmecánica, Contabilidad, Soporte y Mantenimiento de Cómputo, Soldadura industrial"</t>
  </si>
  <si>
    <t>Guadalupe,"EIAO - Unidad Guadalupe, UANL","Carretera Monterrey-Reynosa y Enredadera, Col. Tres Caminos","81-8354-5407","escolar.ugpe@gmail.com","Fb: EIAO.UANL","8:00 a 5:00 hrs.","https://maps.app.goo.gl/fzzwU31APvBkxCRd6","Bachillerato Técnico en: Mecánica Automotriz y Autotrónica, Turismo, Dibujante Industrial, Trabajo Social, Electrónica Industrial, Programación Web, Administrador Contable"</t>
  </si>
  <si>
    <t>Guadalupe,"Preparatoria No. 8, UANL","Matamoros y Calle 12 s/n Fracc. Marte","81-8337-8284","preparatoria8.uanl@gmail.com","Fb: Preparatoria 8 | Insta: Prepa8uanl | X: @Prepa8UANL","8:00 a 17:00 hrs.","https://maps.app.goo.gl/DUjVTtUpHhTN46zo7","Bachillerato General, Bilingüe, No escolarizado, Bilingüe Progresivo | Técnico en: Programación Web, Rehabilitación física"</t>
  </si>
  <si>
    <t>Guadalupe,"Preparatoria No. 15 Unidad Guadalupe, UANL","Sayula 306, Hacienda de Guadalupe 1er Sec","81-8359-1847 / WA: 81-3243-8900","escolar@prepa15.mx","X: @preparatoria15","9:00 a 15:00 hrs.","https://maps.app.goo.gl/oL97tL1gKCpbRZpf6","Bachilleratos Técnicos en: Sistemas Computacionales, Mecatrónica Industrial"</t>
  </si>
  <si>
    <t>Guadalupe,"Preparatoria No. 22, UANL","Vista Aurora No. 220, Col. Linda Vista","81-2723-9911 / 81-2723-9914","jose.martinez@uanl.mx","Fb: Prepa22UANL","8:00 a 18:00 hrs. (L-V)","https://maps.app.goo.gl/v7J21n9NrakWZHP78","Bachillerato General, Bilingüe, Bilingüe Progresivo | Técnico en: Administración Contable, Actividad Física y Deporte"</t>
  </si>
  <si>
    <t>Guadalupe,"Colegio de Estudios Contemporáneos, Unidad Guadalupe","Ave. Benito Juárez No. 919, Col. Nueva Exposición","81-8167-1492 / 81-8398-2288","marisolplacencia@cec-mty.edu.mx","","9 a 13 y 14 a 17hrs.","https://maps.app.goo.gl/ZNNSFPKAdyAEssir7","Bachillerato General"</t>
  </si>
  <si>
    <t>Guadalupe,"Centro de Desarrollo Tecnológico 'Mario J. Montemayor García'","Zaragoza 659 Sur, Col. La Pastora","81-8157-8732","","","7:00 a 15:00 hrs.","https://maps.app.goo.gl/k5Y2pBaFJnH5fpV96","Bachilleratos Técnicos en: Máquinas Herramientas Industriales, Electrónica Industrial"</t>
  </si>
  <si>
    <t>Guadalupe,"Ciudad de los Niños de Monterrey ABP","Zaragoza 659 sur, La Pastora","81-8157-8700 ext 196","alejandra.mendez@ciudaddelosninos.edu.mx","Fb: CiudadDeLosNinosMty | X: @CNM_Oficial","8:00 a 14:00 hrs.","https://maps.app.goo.gl/buTcvmLcZy81MNCr9","Bachillerato presencial | Bachillerato Técnico en: Rehabilitación Física, Enfermería"</t>
  </si>
  <si>
    <t>Guadalupe,"Preparatoria Juan Pablo II","Calle Josefa Ortiz de Domínguez #116, Col. Centro","81-1158-9010 al 13","contacto@juanpabloii.edu.mx","Fb: Preparatoria Juan Pabloll","7:00 a 3:00 hrs.","https://maps.app.goo.gl/YAiUaAZL5Fo5GfwW9","Bachillerato General y Bilingüe"</t>
  </si>
  <si>
    <t>Hidalgo,"Preparatoria No. 18, UANL","Rafaela Padilla No. 200, Col. Miguel Hidalgo","829-286-1028 / 829286-0208","prepa18@uanl.mx","Fb: Prepa 18 UANL | Tw: @prepa18uanl","7:30 a 15:00 hrs.","https://maps.app.goo.gl/6Tr6FfDcmEEnz4Y7A","Bachillerato General Mixta en Línea, Bilingüe-Progresivo Mixta, Técnico en Enfermería, Sistemas Computacionales"</t>
  </si>
  <si>
    <t>Juárez,"CBTIS No. 298 Juárez","Calle San Francisco Col. San Francisco","","cbtis298.dir@dgeti.sems.gob.mx","Fb: CBTIS-298","07:00 a 14:00 hrs.","","Bachillerato Tecnológico"</t>
  </si>
  <si>
    <t>Juárez,"CONALEP Don Benjamín Salinas Westrup","Iris No.220, Col. Villas de San José","81-8233-6916","esc296.nl.adm@nl.conalepnl.edu.mx","Fb: Conalep NL Juárez 'Don Benjamín Salinas Westrup'","09:00 a 17:00 hrs.","https://maps.app.goo.gl/vALioZiuPX725qbu7","Profesional Técnico Escolarizado Bachiller en: Asistente Directivo, Mecatrónica, Motores a Diesel, Química Industrial"</t>
  </si>
  <si>
    <t>Juárez,"CECYTE Juárez","Av. Teófilo Salinas No.398, Col. Real de San José","81-3857-9844","","Fb: Cecytenuevoleon","08:00 a 4:00 hrs.","https://maps.app.goo.gl/jebrgDaYi533UdJs6","Bachillerato Tecnológico en: Logística, Mecatrónica"</t>
  </si>
  <si>
    <t>Juárez,"Colegio Militarizado 'General Mariano Escobedo' Plantel Juárez","San Benito 430, Santa Mónica","81-2906-6559","","","7:00 a 4:00 hrs.","https://maps.app.goo.gl/AQbFvPNdwspuMBzD7","Bachillerato General"</t>
  </si>
  <si>
    <t>Juárez,"Preparatoria No. 22, Unidad Juárez, UANL","Benito Juárez No.241, Col. Centro","81-8329-4000 ext: 1420","everardo.riverag@uanl.mx","Fb: prepa22uanl | X: Prepa22 UANL","9:00 a 15:00 hrs. (L-V)","https://maps.app.goo.gl/PUBK4x1Ya5Lfb9Nx6","Bachillerato General y Técnico en Enfermería"</t>
  </si>
  <si>
    <t>Juárez,"Facultad de Música (Técnica), Unidad Juárez, UANL","Avenida Gran Parque y Calle Sevilla, Valle Condesa","81-1340-4750","yuliana.ramirezr@uanl.mx","Fb: Facultad de Música UANL","8:00 a 15:00 hrs.","https://maps.app.goo.gl/ypRqLBtQg8Q9SOSRA","Técnico Medio en Música"</t>
  </si>
  <si>
    <t>Juárez,"EIAO Pablo Livas - Unidad Juárez, UANL","Avenida Gran Parque y Calle Sevilla, Valle Condesa","81-8340-5172","","","8:00 a 18:00","https://maps.app.goo.gl/jwxXqqqwVms7LJjv8","Modalidad Mixta en Línea: Bachillerato Propedéutico y Técnico en Diseño y Comunicación Visual"</t>
  </si>
  <si>
    <t>Juárez,"Centro de Estudios Sur","Calle 12 de octubre No. 406, Col. 20 de septiembre","81-2074-2812 / 82-8101-9357","artincadereyta@hotmail.com","Fb: Centro de Estudios Sur","","https://maps.app.goo.gl/yz9ga2J45drJYTVN6","Bachillerato General"</t>
  </si>
  <si>
    <t>Juárez,"Centro de Estudios Superiores Monte Alto - Juarez","Av. Eloy Cavazos #990, Col. Fracc. Sol Residencial","81-2022-9693","gabrielahinojosa@montealto.edu.mx","Fb: Colegio Monte Alto | X: Colegio Monte Alto","7:00 a 15:00 hrs. (L-V)","https://maps.app.goo.gl/K9fNStyPZicrTe726","Bachillerato General y Bilingüe"</t>
  </si>
  <si>
    <t>Juárez,"IUSAM-Unidad Juarez","Arturo B. de la garza No. 1303","81-4041-6858 / 81-4041-6859","escolariusam@gmail.com","Fb: IUSAM Oficial Juárez","","https://maps.app.goo.gl/hT7QsDqx7yUvYiGM8","Bachillerato General"</t>
  </si>
  <si>
    <t>Linares,"CBTA No. 29","Carretera Nacional Km 159, Ejido Emiliano Zapata","82-1211-6146","nl.cbta029.direccion@dgetaycm.sems.gob.mx","Fb: cbta29 Linares N.L.","8:00 a 14:00 hrs.","https://maps.app.goo.gl/fAEssb6CudcB116T7","Bachillerato Técnico en: Agropecuario, Ofimática, Admón. de Recursos Humanos"</t>
  </si>
  <si>
    <t>Linares,"CECYTE Linares","Industria Alimenticia s/n, Col. Ciudad Industrial","82-1212-3580","cecytelinares@cecytenl.edu.mx","Fb: CECYTE Nuevo León","9:00 a 17:00 hrs.","https://maps.app.goo.gl/NUKJPga4RzXaSy5C7","Bachillerato Tecnológico en: Programación, Procesos de Gestión Administrativa, Electrónica"</t>
  </si>
  <si>
    <t>Linares,"CONALEP Don Protasio Rodríguez Cuéllar","Lerdo de Tejada S/N, Col. San Antonio","82-1212-3700","","Fb: Promoción y Vinculación Conalep Linares","8:00 a 17.00 hrs.","https://maps.app.goo.gl/vDvibJektEMEgcpaA","Profesional Técnico Bachiller en: Mantenimiento Automotriz, Electromecánica Industrial, Informática, Máquinas Herramienta"</t>
  </si>
  <si>
    <t>Linares,"Colegio Militarizado 'General Mariano Escobedo' Plantel Linares","VC62+CV, 67767 Linares","55-7820-0132","","","7:00 a 4:00 hrs.","https://maps.app.goo.gl/miW9nmewXHBqkzLW6","Bachillerato General"</t>
  </si>
  <si>
    <t>Linares,"EIAO Unidad Linares UANL","Ave. Industria Alimenticia s/n, Parque Industrial","81-8354-5407","linares.eiao@uanl.edu.mx","Fb: EIAO.UANL","8:00 a 17:00 hrs.","https://maps.app.goo.gl/ebw7s7v1Mw2aXqWi7","Bachillerato Técnico en: Biotecnología Industrial, Turismo, Mecatrónica Industrial, Programación Web, Administrador Contable"</t>
  </si>
  <si>
    <t>Linares,"Preparatoria No.4, UANL Unidad Linares","Venustiano Carranza No.301, Col. Centro","82-1212-0543 / 82-1212-2643","jvr.mtz@hotmail.com","Fb: Prepa4UANL | X: @Prepa4_UANL","9.00 a 16:00 hrs (L-V)","https://maps.app.goo.gl/1qu6Mq7N4LmHAVYV8","Bachillerato General y Bilingüe Progresivo (inglés o francés)"</t>
  </si>
  <si>
    <t>Marín,"CECYTE Marín","Lib. Higueras No.200, col. Centro","82-5248-0546 / 82-5248-0551","jose.garcia@ceytenl.edu.m","Fb: Cecyte Nuevo León","8:00 a 16:00 hrs. (L-V)","https://maps.app.goo.gl/vJPA93vYqHFQQwqXc9","Bachillerato Tecnológico, Presencial y Dual en: Procesos de Gestión Administrativa, Electrónica, Producción Industrial de Alimentos, Electromecánica"</t>
  </si>
  <si>
    <t>Montemorelos,"CETIS No. 163 José María Morelos y Pavón","Gustavo Díaz Ordaz S/N, Col. Infonavit 2° Sector","82-6263-6107","cetis163.dir@dgti.sems.gob.mx","Fb: cetis 163","8:00 a 14:00 hrs.","https://maps.app.goo.gl/45CAMQ4QQq8CBpHR7","Bachillerato Tecnológico: Mantenimiento Automotriz, Secretariado Ejecutivo Bilingüe, Programación, Contabilidad, Laboratorista Quimico"</t>
  </si>
  <si>
    <t>Montemorelos,"Colegio Militarizado 'General Mariano Escobedo' Plantel Montemorelos","Av A las Adjuntas, 67535 Montemorelos","81-3100-0781","","","7:00 a 4:00 hrs.","https://maps.app.goo.gl/4FmZ68tH9q8QboKk6","Bachillerato General"</t>
  </si>
  <si>
    <t>Montemorelos,"Preparatoria No. 6, UANL","Morelia s/n, Barrio Zaragoza","82-6263-2395 / 82-6263-6706","raul.tellezt@uanl.mx","Fb: Preparatoria N°6 UANL | X: @prepa6uanl","7:00 a 14:30 hrs. (L-V)","https://maps.app.goo.gl/EbHDXKJFTKbvzd2CA","Bachillerato General, Bilingüe Progresivo, Técnico en Administrador Contable"</t>
  </si>
  <si>
    <t>Montemorelos,"Instituto Valle Dorado","Esmeralda No.142 Col. Fracc. Valle Dorado","81-4193-6843","controlescolar@institutovalledorado.edu.mx","Fb: Instituto Valle Dorado","7:00 a 15:00 hrs. (L-V)","https://maps.app.goo.gl/326t7CuWF9101Cbb8","Bachillerato General"</t>
  </si>
  <si>
    <t>Monterrey,"CBTIS No. 22","Laredo No. 300, Col. Mitras Norte","81-8373-4204","cbtis022.dir@sems.gob.mx","FB: cbtis 22 Monterrey","7:00 a 20:12 hrs.","https://maps.app.goo.gl/TotrK545kwFFK6bC6","Bachillerato Tecnológico: Electrónica, Electromecánica, Programación, Admón. Recursos Humanos, Alimentos y Bebidas"</t>
  </si>
  <si>
    <t>Monterrey,"CBTIS No. 99 Venustiano Carranza Garza","Ave. Mariano del Mirador No. 500, Col. Valle del Mirador","81-1409-6045 Ext 110","cbtiscontrol99@gmail.com","Fb: cbtis99Monterrey","8:00 a 13:00 hrs.","https://maps.app.goo.gl/PsiK3EBNPNhCbtha9","Bachillerato Tecnológico en: Programación, Contabilidad, Construcción, Diseño Gráfico, Secretariado Ejecutivo Bilingüe, Ciencias de Datos"</t>
  </si>
  <si>
    <t>Monterrey,"CONALEP Ing. José Antonio Padilla Segura (Monterrey 1)","Isidoro Garza No. 500, Col. Industrias del Vidrio 1°Sec.","81-4842-0021","plantel037conalepnl.edu.mx","FB: Ing Jose Antonio Padilla Segura I","8:00 a 17:00 hrs.","https://maps.app.goo.gl/tNCTxxhvrW65zZdG9","Profesional Técnico Bachiller en: Artes Gráficas, Electromecánica Industrial, Máquinas-Herramienta, Refrigeración, Soldaduras"</t>
  </si>
  <si>
    <t>Monterrey,"CONALEP Dr. Eduardo Macías Santos (Monterrey II)","Mariano Arista No. 3301, Col. Vidriera","81-8331-0510 / 81-8351-8433","plantel123@nl.conalep.edu.mx","Fb: Conalep Dr. Eduardo Macías Santos","9 a 12:45 y 14:15 a 16:45","https://maps.app.goo.gl/HvmtcFqh1tvxYeBu7","Profesional Técnico Bachiller en: Contabilidad, Optometría, Enfermería General"</t>
  </si>
  <si>
    <t>Monterrey,"CONALEP Ing. Adrián Sada Treviño (Monterrey III)","Prol. Ruiz Cortinez Pte. s/n, Col. Valle de Infonavit 1er Sec","81-8381-2260","alicia.toscanoa.adm254@nl.conalep.edu.mx","Fb: Conalep Ing. Adrián Sada Treviño","9:00 a 18:00 hrs.","https://maps.app.goo.gl/eExbSAu1BqvbYocR9","Profesional Técnico Bachiller en: Mantenimiento de Sist. Electrónicos, Telecomunicaciones, Productividad Industrial, Ciencia de Datos e IA"</t>
  </si>
  <si>
    <t>Monterrey,"CONALEP Lic Barbara Herrera de Garza","Prolongación Aztlán s/n, Col. San Bernabé 8° Sector","81-8301-2912","plantel.adm333@nl.conalep.edu.mx","Fb: ConalepBarbara Herrera","9:00 a 18:00 hrs.","https://maps.app.goo.gl/uXoYXqaXBB5KM1vk7","Profesional Técnico Bachiller en: Enfermería General, Informática, Fuentes Alternas de Energía"</t>
  </si>
  <si>
    <t>Monterrey,"Centro de Educación Artística Alfonso Reyes (CEDART)","José Benítez 604, Col. Obispado","81-8851-1600 ext. 3687","car@inba.gob.mx","Fb: CedartAlfonsoReyesMonterreyOficial","9 am a 19 h","https://maps.app.goo.gl/FB746xUjjuQHHev9","Bachillerato de Artes Humanidades Presencial | Técnico en: Danza, Música, Teatro y Artes Plásticas"</t>
  </si>
  <si>
    <t>Monterrey,"CECYTE La Estanzuela","Canelos s/n, Col. Nueva Estanzuela","81-1828-7183 / 81-8317-9563","estanzuela@cecytenl.edu.mx","","7:00 a 15:00 hrs.","https://maps.app.goo.gl/KKAWoU8KovZELycmt8","Bachillerato Tecnológico Presencial en: Ciberseguridad, Ciencia de Datos e Información"</t>
  </si>
  <si>
    <t>Monterrey,"Escuela Preparatoria Técnica 'Gral. Emiliano Zapata'","Av. Rodrigo Gómez s/n, Col. Sector Heroico","81-2135-4567","e_zapatamonterrey@hotmail.com","Fb: yosoypreparatoriaemilianozapta","8:00 am a 8:00 pm","https://maps.app.goo.gl/n5H1VJiWhafnaCg98","Bachillerato General y Técnico en: Sistemas, Mecánica Automotriz, Contabilidad, Electricidad, Asistente Educativo, Deporte, Artes Gráficas, Enfermería"</t>
  </si>
  <si>
    <t>Monterrey,"Colegio Militarizado 'General Mariano Escobedo' Plantel San Bernabé","Prol Aztlán 9610, San Bernabé","81-1180-1156","","","7:00 a 17:00 hrs.","https://maps.app.goo.gl/W8npwKuUyZ56BFW9","Bachillerato General"</t>
  </si>
  <si>
    <t>Monterrey,"CIDEB, UANL","Av. Lázaro Cárdenas al Ote., Campus Mederos UANL","81-8329-4180","escolar.cideb@uanl.mx","Fb: CIDEB.REDUANL","9:00 a 17:00 hrs","https://maps.app.goo.gl/9bqqxWg6CBsvzFMm7","Bachillerato Bilingüe, Bilingüe Progresivo e Internacional"</t>
  </si>
  <si>
    <t>Monterrey,"CIDEB-OBISPADO, UANL","Matamoros y José Benítez s/n, Col. Obispado","81-8333-2610 / 81-8346-0211","escolar.prepa2@uanl.edu.mx","Fb: preparatoria#2UANL | X: @prepa2UANL","7:00 a 19:00 hrs.","https://maps.app.goo.gl/SHY1Vv6SoDMdTWPM8","Bachillerato General Presencial y No Escolarizado"</t>
  </si>
  <si>
    <t>Monterrey,"EIAO Pablo Livas, Unidad Centro UANL","Jiménez No. 321 Sur, Col. Centro","81-8340-5172","","","8:00 a 18:00","https://maps.app.goo.gl/QCD7eDGwwAVjz4BY6","Técnico en: Diseño y Com. Visual, Diseño de Moda, Imagen, Gastronomía, Actividad Física, Fisioterapia, Artes"</t>
  </si>
  <si>
    <t>Monterrey,"EIAO Pablo Livas - Unidad Poniente, UANL","Nitrógeno y Ocaso No. 100, Col. Zona Barrio Acero","81-8102-0616","","","8:00 a 18:00 hrs.","https://maps.app.goo.gl/asWa1oirw22uMGh4A","Diseño y Com. Visual, Gastronomía, Actividad Física, Imagen, Ciencia de Datos e Inteligencia Artificial"</t>
  </si>
  <si>
    <t>Monterrey,"Facultad de Música (Técnica), UANL","Praga y Trieste s/n, Campus Mederos","81-1340-4750","yuliana.ramirezr@uanl.mx","Fb: Facultad de Música UANL","8:00 a 15:00 hrs.","https://maps.app.goo.gl/smnDYwEYPTMF99E1y7mbn6","Técnico Medio en Música"</t>
  </si>
  <si>
    <t>Monterrey,"Escuela y Preparatoria Técnica Médica, UANL","Ave. Insurgentes No. 4500, Colinas de San Jerónimo","81-8348-4590 / 81-8348-4291","mtytcl@hotmail.com","Fb: @tecnicamedica.uanl","8:00 a 15:30 hrs.","https://maps.app.goo.gl/cGhBDKTCjAc3KVTDA","Bachilleratos Técnicos en: Dental, Enfermería (Varias acentuaciones), Gerontología, Laboratorista Clínico, Nutrición, Oftalmología, Paramédico, Radiología, Terapia Respiratoria, Embalsamamiento"</t>
  </si>
  <si>
    <t>Monterrey,"EIAO Unidad Monterrey I, UANL","Av. Churubusco No. 935 Nte. Col. Venustiano Carranza","81-8354-5407","escolar.eiao@uanl.edu.mx","Fb: EIAO UANL","8:00 a 15:00 hrs.","https://maps.app.goo.gl/nuKM4k9nFcGyHr7R8","Gran variedad de Bachilleratos Técnicos Industriales y Duales (Climática, IA, Mecatrónica, Aeronáutica, Automotriz, etc.)"</t>
  </si>
  <si>
    <t>Monterrey,"EIAO Unidad Monterrey II, UANL","Prolongación Jalisco y Lago de Pátzcuaro, Col. Independencia","81-8354-5407","escolarmty2@gmail.com","Fb: EIAO.UANL","8:00 a 17:00 hrs.","https://maps.app.goo.gl/XmimskafMoLBXNfQ8","Técnico en: Trabajo Social, Administrador Contable, Electromecánico Industrial, Aplicaciones Audiovisuales"</t>
  </si>
  <si>
    <t>Monterrey,"Preparatoria No. 2, UANL","Matamoros y José Benítez s/n, Col. Obispado","81-8346-0211 / 81-8333-2610","escolar.prepa2@uanl.edu.mx","Fb: preparatoria#2UANL","8:00 a 19:00 hrs.","https://maps.app.goo.gl/RdtMRrDZa77cSf7V7","Bachillerato General (Presencial y No Escolarizado)"</t>
  </si>
  <si>
    <t>Monterrey,"Preparatoria No. 3, UANL","Ave. Francisco I. Madero y Félix U. Gómez, Col. Centro","81-8355-3080 / 81-8355-3435","yessika.hernandezc@uanl.mx","Fb: Preparatoria No 3 UANL","L-V 8:00 a 20:00 / S 8:00 a 13:00","https://maps.app.goo.gl/aaiHRd4SZicnyBBS9","Bachillerato General. Modalidad Mixta en Línea"</t>
  </si>
  <si>
    <t>Monterrey,"Preparatoria No. 9, UANL","Tuxtla y Cd. del Maíz, Fracc. Jardin de las Mitras","81-1340-4469 / 81-1340-4400","prepa9@uanl.mx","Fb: Prepa 9 UANL | X: @prepaguanl","8:00 a 17:00 hrs.","https://maps.app.goo.gl/rG7jj32wvZQLV9PR6","Bachillerato General, Bilingüe, Bilingüe Progresivo, Técnico en Administrador Contable y Deporte"</t>
  </si>
  <si>
    <t>Monterrey,"Preparatoria No. 15, Unidad Madero, UANL","Ave. Madero No. 3115 Pte., Col. Mitras Centro","81-8348-4238 ext. 107","rgarcias@uanl.edu.mx","Fb: Preparatoria N 15 UANL","8:00 a 15:00 hrs (L-V)","https://maps.app.goo.gl/caD2E3UyVjrzQoYN6","Bachillerato General, Bilingüe | Técnico en Sistemas Computacionales y Mecatrónica Industrial"</t>
  </si>
  <si>
    <t>Monterrey,"Preparatoria No. 15, Unidad Florida, UANL","Álamos No. 2315, Col. Florida","81-8359-1847 / 81-8359-6502","escolar@prepa15.mx","X: @preparatoria15","8:00 a 15:00 hrs.","https://maps.app.goo.gl/8CSuyNZh8H5eHE9z9","Bachillerato General, Bilingüe, Bilingüe Progresivo, Distancia y Técnico en Sistemas / Mecatrónica"</t>
  </si>
  <si>
    <t>Monterrey,"Colegio Cristóbal Colón","Camino del Pastizal No. 100 Col. Barrio Estrella","81-1425-5408","informes@prepacc.com.mx","Fb: Preparatoria Bilingüe Cristóbal Colón","7:30 a 14:00 hrs.","https://maps.app.goo.gl/URPcR32Rjkqwe17L8","Bachillerato Bilingüe"</t>
  </si>
  <si>
    <t>Monterrey,"Colegio Maranatha","Alcaldías No.399, Col. Los Rosales","81-8989-5777","contacto@colegiomaranatha.edu.mx","Fb: @colegiomaanathaoficial","8:00 a 14:00 hrs.","https://maps.app.goo.gl/oeJn1ribaUEMxmG29","Bachillerato General"</t>
  </si>
  <si>
    <t>Monterrey,"Colegio Regiomontano Contry","Roberto Garza Zambrano 333, Col. Contry","81-8349-4412 / 81-8357-7621","coordinacionprepa@regiocontry.edu.mx","Fb: @colegioregiocontry","8:00 a 14:00 hrs.","https://maps.app.goo.gl/TBQeKik7WEGeZ98J9","Bachillerato General Escolarizado"</t>
  </si>
  <si>
    <t>Monterrey,"Colegio Salesiano Don Bosco","Av. Constituyentes de Nuevo León No. 1100, Col. Los Fresnos","81-8379-6788 / 81-8334-4648","preparatoria@salesianosmty.mx","Fb: salesianosmty","8:00 a 14:00 hrs.","https://maps.app.goo.gl/cPZ966LNYtG6AYRu9","Bachillerato General Escolarizado"</t>
  </si>
  <si>
    <t>Monterrey,"Colegio San Patricio - Cumbres","Richard E. Byrd No. 1300, Col. Bosques de las Cumbres","81-8310-0000","admisionescumbres@sanpatricio.edu.mk","","7:30 a 15.00 hrs.","https://maps.app.goo.gl/KxHRUAKHB9v387Dx8","Bachillerato Bilingüe"</t>
  </si>
  <si>
    <t>Monterrey,"Centro Universitario Franco Mexicano de Monterrey AC","Ave. Dr. José Eleuterio González No.300, Col. San Jerónimo","81-8347-2180 ext.104","admision@cumdemty.edu.mx","Fb: CUFMDEMonterrey","8:00 a 14:00 hrs.","https://maps.app.goo.gl/DLeFq8mQSXQPTWAQ9","Bachillerato General y Bilingüe"</t>
  </si>
  <si>
    <t>Monterrey,"Consorcio Educativo Oxford","Galeana Sur 585, Centro","81-8047-0000","coordinacion1.ce@ceox.edu.mx","Fb: Ceox Centro | Insta: Ceox Centro","8:00 a 16:00 hrs.","https://maps.app.goo.gl/Ra325LAYuCMqk5Br8","Bachillerato General"</t>
  </si>
  <si>
    <t>Monterrey,"Colegio San Patricio, Unidad Del Paseo Residencial","Cerrada San Patricio 5400, Col. Del Paseo Residencial","81-8365-5018","admisiones@sanpatricio.edu.mx","","8:00 a 15:00 hrs.","https://maps.app.goo.gl/XeXkYPxF6vHJfFc49","Bachillerato General y Bilingüe"</t>
  </si>
  <si>
    <t>Monterrey,"Instituto Teocalli","Av. Juan José Hinojosa No. 3007, Col. San Jorge","81-8373-6613 / 81-8373-6684","prepa@institutoteocalli.edu.mx","Fb: Instituto Teocalli","7:30 a 14:30 hrs.","https://maps.app.goo.gl/RGKUgPFTc6xEyF4w9","Bachillerato General"</t>
  </si>
  <si>
    <t>Monterrey,"Instituto de Sistemas Administrativos Computacionales de Monterrey","Modesto Arreola 406 Pte, Centro","81-8340-2055 / 81-2350-2312","na_cano@isac.edu.mx","Fb: Universidad.isac","8:00 a 18:00","https://maps.app.goo.gl/qJ5CP9FS8Ksm2Aoi8","Bachillerato General Escolarizado"</t>
  </si>
  <si>
    <t>Monterrey,"Instituto Regiomontano A.C Chepevera","Marcelino M Lacas s/n, Col. Chepevera","81-8048-8470 ext: 2494","prepa@irchepevera.edu.mx","Fb: @irchepevera","8:00 a 14:00 hrs.","https://maps.app.goo.gl/XvVtXnfZQZIEixE16","Bachillerato General y Bilingüe"</t>
  </si>
  <si>
    <t>Monterrey,"Instituto Regiomontano Cumbres","Ave Prolongación Puerta del Sol no 7000, Col Cumbres Mediterráneo","81-8121-9960","preparatoriainscripciones@ircumbres.edu.mx","Fb: Instituto regiomontano cumbres","7:00 a 14:00 hrs.","https://maps.app.goo.gl/qhPLDVAu2wGQthAU7","Bachillerato General Escolarizado"</t>
  </si>
  <si>
    <t>Monterrey,"Instituto Mano Amiga de Monterrey","Camino al Mirador No. 4050, Col. República","81-1257-6930","asepulveda.mty@manoamiga.edu.mx","Fb: Colegio Mano Amiga Monterrey","7:00 a 14:00 hrs.","https://maps.app.goo.gl/Hv84m9Grb86cmLAD6","Bachillerato General | Técnico en Mecánica Automotriz y Autotrónica"</t>
  </si>
  <si>
    <t>Monterrey,"IUSAM Unidad M.M. de Llano","MM de Llano 141 Ote, Centro","(81)-83-44-96-36 / 83-42-91-59","iusam@prodigy.net.mx","Fb: IUSAM","L-V 8:00 a 21:00 / S 8:00 a 14:00","https://maps.app.goo.gl/GB1vCc3Ra9WVcHU39","Bachillerato General"</t>
  </si>
  <si>
    <t>Monterrey,"IUSAM Unidad Matamoros","Matamoros No.123 Ote, Col. Centro","81-8375-5442","uanl.prepa.iusam@gmail.com","","L-V 7:00 a 20:00 / S 8:00 a 12:00","https://maps.app.goo.gl/qzecDvzLXoc4WJc49","Bachillerato General"</t>
  </si>
  <si>
    <t>Monterrey,"Instituto Universitario Metropolitano","Washingon 608, Col. Centro","81-8374-1186 / 81-83741187","prepa.uanl@iumsc.mx","Fb: IUM Monterrey | Insta: ium.monterrey","8:00 a 18:30 hrs","https://maps.app.goo.gl/n5FRR1EC38nUuihk8","Bachillerato General Escolarizada"</t>
  </si>
  <si>
    <t>Monterrey,"Instituto Vicente Suárez","Calle Principal No. 332, Col. Ladrillera","81-8359-0314","controlescolar@ivs.edu.mx","Fb: Instituto Vicente Suarez Sur","7:30 a 14:00 hrs.","https://maps.app.goo.gl/99sKLvvZPo7KHd2g7","Bachillerato General Presencial"</t>
  </si>
  <si>
    <t>Monterrey,"Universidad Social IUTT","Félix U. Gómez 235 Nte, Centro","81-8344-9994","admisiones-usiutt@outlook.com","IG: @universidadsocialiutt","8:00 a 21:00","https://maps.app.goo.gl/nupb5UdgA7LC7vucA","Bachillerato General presencial"</t>
  </si>
  <si>
    <t>Pesquería,"CBTA 74 (Extensión Pesquería)","Av. José López Portillo, Centro","81-1652-1439","cbta74pesquerianl@gmail.com","Fb: cbta74pesqueria","8:00 a 13:00 hrs.","https://maps.app.goo.gl/VVcqA9e2nsVF9NRA6","Bachillerato Técnico en: Administración de Recursos Humanos, Ofimática"</t>
  </si>
  <si>
    <t>Pesquería,"CECYTE Pesquería","Villa Antonieta S/N, VILLAS REGINA","81-8203-3808","liliana.martinez@cecytenl.edu.mx","","8:00 a 16:00 hrs.","https://maps.app.goo.gl/t4idmUoC1YVaYJnd8","Bachillerato Técnico en: Procesos de Gestión Administrativa, Mantenimiento Industrial, Mecatrónica, Electromecánica"</t>
  </si>
  <si>
    <t>Pesquería,"Colegio Militarizado 'General Mariano Escobedo' Plantel Pesquería","C. Perimetral Centro 805, Colinas del Aeropuerto","81-2346-5890","","","24 hrs.","https://maps.app.goo.gl/PcCTLMGqVqZynT4D7","Bachillerato General"</t>
  </si>
  <si>
    <t>Pesquería,"Escuela Técnica Roberto Rocca","Boulevard Rogelio Pérez Arrambide No. 2000, Col. Ladrillera","81-2142-7213 / 81-2142-7202","info@etrr.edu.mx","Fb: etrrpesqueria","7:30 a 16:30 hrs.","","Especialidades técnicas"</t>
  </si>
  <si>
    <t>Sabinas Hidalgo,"CBTA 249","Francisco de la Calancha No. 115, Col. Hacienda Larraldeña","82-4242-5250","nl.cbta249.direccion@dgetaycm.sems.gob.mx","","8:00 a 14:00 hrs.","https://maps.app.goo.gl/1VvSqssvWpteZVhV6","Técnico Agropecuario, Administración de Recursos Humanos, Ofimática"</t>
  </si>
  <si>
    <t>Sabinas Hidalgo,"CECYTE Sabinas Hidalgo","Mier y Terán No. 1300 Pte., Col. Revolución","82-4121-1108 / 82-4121-1183","miroslava.rivera@cecytenl.edu.mx","Fb: CECYTENLOFICIAL Hidalgo","9:00 a 17:00 hrs.","https://maps.app.goo.gl/F3MvFs7oAMzyp1KPA","Bachillerato Tecnológico en: Ofimática, Procesos de Gestión Administrativa, Electromecánica"</t>
  </si>
  <si>
    <t>Sabinas Hidalgo,"Colegio Militarizado 'General Mariano Escobedo' Plantel Sabinas Hidalgo","María Luisa, 65244 Sabinas Hidalgo","","","","7:00 a 18:00 hrs.","https://maps.app.goo.gl/GbJDF2QCZxAzjYKm7","Bachillerato General"</t>
  </si>
  <si>
    <t>Sabinas Hidalgo,"Preparatoria No. 5, UANL","Iturbide No. 1100 Pte., Centro","82-4242-0265 ext. 101","victor.rodriguezprz@uanl.edu.mx","Fb: Prepa 5 UANL","8:00 a 18:00 hrs.","https://maps.app.goo.gl/t9aSKPQrXq996APL9","Bachillerato Tecnológico en: Mecatrónica"</t>
  </si>
  <si>
    <t>Salinas Victoria,"CECYTE Salinas Victoria","Carr. a Salinas Victoria s/n, Col. Centro","81-8237-0049","rosa.diaz@cecytenl.edu.mx","","9:00 a 13:00 hrs.","https://maps.app.goo.gl/R83qW28fym9eWa7A9","Bachillerato Tecnológico en: Logística y Electricidad, Mantenimiento Industrial, Procesos de Gestión Administrativa"</t>
  </si>
  <si>
    <t>Salinas Victoria,"Preparatoria No. 25 Dr. Eduardo Aguirre Pequeño, Unidad Salinas Victoria, UANL","Calle Morelos #300. Centro","81-8058-0183 / 81-8237-0081","paeprepa25@gmail.com","Fb: Preparatoria N25 UANL","9:00 a 15:00 hrs.","https://maps.app.goo.gl/mR2tpZkCjUeErwd96","Bachillerato General Presencial"</t>
  </si>
  <si>
    <t>San Nicolás de los Garza,"Colegio Militarizado 'General Mariano Escobedo' Plantel San Nicolas","Fernando Amilpa, 66052 Cdad. Gral. Escobedo","81-3191-5090","","","7:00 a 18:00 hrs.","https://maps.app.goo.gl/wX4M1RpFD4xYV0EX7","Bachillerato General"</t>
  </si>
  <si>
    <t>San Nicolás de los Garza,"Conalep Ing. Gustavo M. de la Garza Ortega","Av. Adolfo López Mateos km 2.5, Col. Lagrange","81-4842-0024 ext: 140","plantel091@nl.conalepnl.edu.mx","Fb: Ing. Gustavo M. de la Garza Ortega.","9 a 13 y 14 a 17:30 hrs.","https://maps.app.goo.gl/c8zPqPX76L3iCJtv5","Profesional Técnico Bachiller en: Ciencia de datos e IA, Electromecánica Industrial, Metalmecánica y soldaduras"</t>
  </si>
  <si>
    <t>San Nicolás de los Garza,"CONALEP Don José María Hernández Martínez (San Nicolás II)","Av. Arroyo y Artículo 123 S/N, Fracc. Unidad Laboral","81-4842-0027","plantel213@nl.conalep.edu.mx","FB: Conalep NL San Nicolás II Don José Ma Hernández Martínez","8-13 hrs y 14-20 hrs L-V","https://maps.app.goo.gl/zatPEEBWYHQWcD8R6","Profesional Técnico Bachiller en: Alimentos y Bebidas, Contabilidad, Turismo, Plásticos"</t>
  </si>
  <si>
    <t>San Nicolás de los Garza,"EIAO Unidad San Nicolás, UANL","Filia y Papagayos, Col. Torres de Santo Domingo","81-8354-5407","sannicolas.eiao@uanl.edu.mx","FB: EIAO.UANL","8:00 a 17:00 hrs.","https://maps.app.goo.gl/EkDjfjj8t4kvTsF16","Bachillerato Técnico en: Turismo, Trabajo Social, Mecatrónica Industrial, Programación en Web, Administrador Contable"</t>
  </si>
  <si>
    <t>San Nicolás de los Garza,"Preparatoria No. 7 'Dr. Oscar Vela Cantú' Unidad I, UANL","Ave. Las Puentes y Sierra de Santa Clara, Las Puentes 1°Sec","81-8330-3135 / 81-8330-2087","escolar.prepa7@uanl.edu.mx","Fb: Prepa7Puentes | X: @prepa7uanl","8:00 a 18:00 hrs.","https://maps.app.goo.gl/1GB14Gb1a4SNZSMn8","General, General Bilingüe en Inglés, General Bilingüe Progresivo en Inglés y Francés"</t>
  </si>
  <si>
    <t>San Nicolás de los Garza,"Preparatoria No. 7 'Dr. Oscar Vela Cantú' Unidad II, UANL","Jacarandas No. 700, Fracc. Hacienda Los Morales 2º Sec.","81-8379-7414 / 81-8394-1999","escolar.prepa7@uanl.edu.mx","Fb: Prepa7UANL | X: @prepa7uanl","8:00 a 17:00 hrs.","https://maps.app.goo.gl/UY9FUa9","General, General Bilingüe en Inglés, General Bilingüe Progresivo en Inglés y Francés"</t>
  </si>
  <si>
    <t>San Nicolás de los Garza,"Preparatoria No. 16, UANL","Castilla y Santander s/n, Fracc. Iturbide","81-8042-0030","escolar.p16@uanl.edu.mx","Fb: Preparatoria 16 UANL | Insta: prepa16uanl","8:00 a 17:00 hrs.","https://maps.app.goo.gl/EQyJGUKENHjWhRVs6","Bachillerato General mixta en línea y a Distancia, Bilingüe Progresivo y Bilingüe en Inglés"</t>
  </si>
  <si>
    <t>San Nicolás de los Garza,"Centro Educativo Regiomontano de Emprendedores","Av. Montes Berneses No.1088, Calle de las Flores","81-1493-0390","asesoreseducativos@live.com.mx","","8:00 am a 5:00 pm","https://maps.app.goo.gl/vQngnkoPpQRc1bFW6","Bachillerato General"</t>
  </si>
  <si>
    <t>San Nicolás de los Garza,"Centro Universitario Educativo y Cultural","Av. Central No.909, Col. Chapultepec","81-8330-0333 / 81-8352-4452","fmartinez@centrouniversitario.mx","Fb: Centro.universitario94","8.00 a 14:00 hrs.","https://maps.app.goo.gl/MqKDNROMNJxVnuL89","Bachillerato General Escolarizada"</t>
  </si>
  <si>
    <t>San Pedro Garza García,"CETIS No. 66","Padre Mier No. 500, Fracc. Los Sauces","81-3610-7114","cetis066.dir@dgeti.sems.gobo.mx","Fb: Cetis66","7:30 a 20:00 hrs.","https://maps.app.goo.gl/CtebrkPaBzXp4kz97","Administración de Rec. Hum., Ciencias de Datos, Mecánica Industrial, Mecatrónica, Programación, Ventas"</t>
  </si>
  <si>
    <t>San Pedro Garza García,"Preparatoria No. 23, Unidad San Pedro, UANL","Nicéforo Zambrano s/n, Col. Vista Montaña","81-8315-8793","preparatoria23@uanl.mx","Fb: Preparatoria23UANL","8:00 a 16:00 hrs.","https://maps.app.goo.gl/WRjCDXYQUJv1WVFR9","Bachillerato General Mixta en Línea"</t>
  </si>
  <si>
    <t>San Pedro Garza García,"Centro Escolar Gante","Vicente Guerrero No. 300 Sur, Col. Centro","81-8338-4811","lupita.herrerasz@gante.edu.mx","Fb: Centro Escolar A.C.","7:30 a 14:30 hrs","https://maps.app.goo.gl/oVgxEiG7goB7mSY06","Bachillerato General, Bachillerato General Bilingüe en Ingles y Bilingüe Progresivo"</t>
  </si>
  <si>
    <t>San Pedro Garza García,"Instituciones Educativas Labastida, AC","Ave. Vasconcelos No.110 Ote., Col. Del Valle","81-8335-4530 ext: 105","bachiller@colegiolabastida.edu.mx","Fb: @colegiolabastida","7:00 a 14:40 hrs.","https://maps.app.goo.gl/5TLJKMJoD1tQt6eTA","Bachillerato Bilingüe - Escolarizado Presencial"</t>
  </si>
  <si>
    <t>San Pedro Garza García,"Instituto Mater A.C","Gómez Morín No. 1000 Sur, Col. Carrizalejo","81-5000-4622 ext: 112","preparatoria@mater.edu.mx","Fb: Prepa Mater | Insta: Prepa Mater","8:00 a 15:00 hrs","https://maps.app.goo.gl/Bph7pquCJ8xRsn8r5","Bachillerato General Extendido"</t>
  </si>
  <si>
    <t>San Pedro Garza García,"Instituto Mano Amiga La Cima, ABP","Prolongación Aluminio s/n, Col. San Pedro 400","81-2519-3423","idelacruz.cim@manoamiga.edu.mx","Fb: Mano Amiga La Cima","7:00 a 15:00 hrs.","https://maps.app.goo.gl/D38bnD3YM3KY5DyAA","Bachillerato General"</t>
  </si>
  <si>
    <t>Santa Catarina,"CONALEP Humberto Lobo Villarreal","Primera Ave. No. 900, Col. Santa Martha","81-8388-1007 ext. 25","plantel242@nl.conalep.edu.mx","Fb: Conalep Nl Santa Catarina Don Humberto Lobo Villarreal","9:00 a 13:00","https://maps.app.goo.gl/Vuhbjus5TUsFZv6L7","Electromecánica, Química Industrial, Contabilidad, Motores a Diesel, Máquinas Herramienta, Soldaduras"</t>
  </si>
  <si>
    <t>Santa Catarina,"Preparatoria No. 23, Unidad Santa Catarina, UANL","Ave. San Francisco 198, Col. La Fama","81-8336-3687 / 81-8336-3683","Prepratoria23@uanl.mx","Fb: Preparatoria23UANL | Insta: prepa23uanl","8:00 a 16:00 hrs.","https://maps.app.goo.gl/jMJ5BHSEN5XaJRsM8","Bachillerato General Mixto en Línea, Técnico Administrador Contable, Técnico en Sistemas Computacionales"</t>
  </si>
  <si>
    <t>Santa Catarina,"Instituto de Formación Integral Nouveau","Perimetral Norte #795, Misión de Santa Catarina","81-1908-2360 / 81-2710-7151","prepa.uanl@nouveau.edu.mx","Fb: Nouveau International School","7:00 a 16:00 hrs.","https://maps.app.goo.gl/BX7tNVEhkWQXPNCa6","Bachillerato General"</t>
  </si>
  <si>
    <t>Santa Catarina,"Instituto Regiomontano, Unidad Santa Catarina","Calle 'B' No. 2300, Col. Luis Echeverría","81-8388-6588","lasallesantacatarina@irsantacatarina.edu.mx","Fb: La Salle Santa Catarina | Insta: lasallesantacatarina","9:00 a 13:00 hrs.","https://maps.app.goo.gl/gFmsrCjhqVB19Mhm7","Bachillerato General"</t>
  </si>
  <si>
    <t>Santa Catarina,"Preparatoria Politécnica Santa Catarina, Unidad La Fama","Justo C. Díaz No. 121, La Fama","81-3673-5328 / 81-3673-5330","Informes@ppsc.edu.mx","Fb: Preparatoria Politecnica Santa Catarina","9:00 a 15:00 hrs.","https://maps.app.goo.gl/7HWs2mwFqN6vLsL38","Bachillerato Tecnológico"</t>
  </si>
  <si>
    <t>Santa Catarina,"Preparatoria Politécnica Santa Catarina, Unidad Poniente","José María Robles No.401, Fracc. Real del Valle","81-2932-3916","Informes@ppsc.edu.mx","Fb: Preparatoria Politecnica Santa Catarina","9:00 a 15:00 hrs.","https://maps.app.goo.gl/cwqoRoaAyGUkPLSh8","Bachillerato Tecnológico"</t>
  </si>
  <si>
    <t>Santiago,"CBTA 74 (Extensión Santiago)","Calle Club de Leones s/n, Congregación San Javier","81-2285-4422","cbta74.santiago@hotmail.com","Fb: Cbta74 Ext. Santiago","8:00 a 16:00 hrs.","https://maps.app.goo.gl/T3MRK4PNYvfGAwzs7","Bachillerato Técnico en Contabilidad"</t>
  </si>
  <si>
    <t>Santiago,"CONALEP Don Carlos Maldonado Elizondo","Santa Teresa y Calzada Santa Maria s/n, Fracc. Santa Clara","81-2450-2249","plantel290@nl.conalep.edu.mx","Fb: Conalep Santiago Nuevo León","08:00 a 16:00 hrs","https://maps.app.goo.gl/4egawadwJRQt7u877","Profesional Técnico Bachiller en: Alimentos y Bebidas, Contabilidad, Informática"</t>
  </si>
  <si>
    <t>Santiago,"Preparatoria No. 20, UANL","Calle del Ébano y la Noria, Fracc. Jardines de Santiago","81-2285-0077 / 81-2285-2874","","Fb: Preparatoria 20 UANL","8:00 a 17:00 hrs.","https://maps.app.goo.gl/ahFXrBvPHGkxT9dt6","General Mixto en Línea, Bilingüe Progresivo, Técnico en Electricista, Admón Contable, Gastronomía, Mecatrónica, Programación"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</si>
</sst>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8"/>
      <color rgb="FF425D90"/>
      <name val="Montserrat"/>
    </font>
    <font>
      <b/>
      <sz val="10"/>
      <color rgb="FF74777E"/>
      <name val="Montserrat"/>
    </font>
    <font>
      <b/>
      <sz val="16"/>
      <color rgb="FF425D90"/>
      <name val="Montserrat"/>
    </font>
    <font>
      <b/>
      <sz val="10"/>
      <color rgb="FFFFFFFF"/>
      <name val="Montserrat"/>
    </font>
    <font>
      <sz val="10"/>
      <color rgb="FF333333"/>
      <name val="Arial"/>
      <family val="2"/>
    </font>
    <font>
      <b/>
      <sz val="10"/>
      <color rgb="FF1B365D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25D90"/>
        <bgColor rgb="FF425D90"/>
      </patternFill>
    </fill>
    <fill>
      <patternFill patternType="solid">
        <fgColor rgb="FFF4F6F9"/>
        <bgColor rgb="FFF4F6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3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8" fillId="0" borderId="0" xfId="0" applyFont="1" applyAlignment="1"/>
    <xf numFmtId="0" fontId="1" fillId="0" borderId="0" xfId="0" applyFont="1"/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/>
    </xf>
    <xf numFmtId="0" fontId="8" fillId="0" borderId="0" xfId="0" applyFont="1" applyAlignment="1"/>
    <xf numFmtId="0" fontId="9" fillId="0" borderId="0" xfId="0" applyFont="1" applyAlignment="1"/>
    <xf numFmtId="0" fontId="9" fillId="0" borderId="0" xfId="0" applyFont="1" applyAlignment="1"/>
    <xf numFmtId="0" fontId="1" fillId="0" borderId="0" xfId="0" applyFont="1" applyAlignment="1"/>
    <xf numFmtId="0" fontId="9" fillId="0" borderId="0" xfId="0" applyFont="1" applyAlignment="1">
      <alignment horizontal="left"/>
    </xf>
    <xf numFmtId="0" fontId="6" fillId="2" borderId="1" xfId="0" applyFont="1" applyFill="1" applyBorder="1" applyAlignment="1">
      <alignment horizontal="left"/>
    </xf>
    <xf numFmtId="0" fontId="9" fillId="0" borderId="0" xfId="0" applyFont="1" applyAlignment="1"/>
    <xf numFmtId="0" fontId="6" fillId="4" borderId="1" xfId="0" applyFont="1" applyFill="1" applyBorder="1" applyAlignment="1">
      <alignment horizontal="left"/>
    </xf>
    <xf numFmtId="0" fontId="1" fillId="0" borderId="0" xfId="0" applyFont="1"/>
    <xf numFmtId="0" fontId="8" fillId="0" borderId="0" xfId="0" applyFont="1" applyAlignment="1"/>
    <xf numFmtId="0" fontId="6" fillId="2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vertical="center"/>
    </xf>
    <xf numFmtId="0" fontId="0" fillId="0" borderId="0" xfId="0" applyFont="1" applyAlignment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0" fillId="4" borderId="1" xfId="1" applyFill="1" applyBorder="1" applyAlignment="1">
      <alignment horizontal="center"/>
    </xf>
    <xf numFmtId="0" fontId="10" fillId="2" borderId="1" xfId="1" applyFill="1" applyBorder="1" applyAlignment="1">
      <alignment horizontal="left"/>
    </xf>
    <xf numFmtId="0" fontId="10" fillId="0" borderId="0" xfId="1" applyAlignment="1">
      <alignment horizontal="left"/>
    </xf>
  </cellXfs>
  <cellStyles count="2">
    <cellStyle name="Hipervínculo" xfId="1" builtinId="8"/>
    <cellStyle name="Normal" xfId="0" builtinId="0"/>
  </cellStyles>
  <dxfs count="15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425D90"/>
          <bgColor rgb="FF425D90"/>
        </patternFill>
      </fill>
    </dxf>
  </dxfs>
  <tableStyles count="5">
    <tableStyle name="UANL NMS-style" pivot="0" count="3">
      <tableStyleElement type="headerRow" dxfId="14"/>
      <tableStyleElement type="firstRowStripe" dxfId="13"/>
      <tableStyleElement type="secondRowStripe" dxfId="12"/>
    </tableStyle>
    <tableStyle name="CECYTE-style" pivot="0" count="3">
      <tableStyleElement type="headerRow" dxfId="11"/>
      <tableStyleElement type="firstRowStripe" dxfId="10"/>
      <tableStyleElement type="secondRowStripe" dxfId="9"/>
    </tableStyle>
    <tableStyle name="CONALEP-style" pivot="0" count="3">
      <tableStyleElement type="headerRow" dxfId="8"/>
      <tableStyleElement type="firstRowStripe" dxfId="7"/>
      <tableStyleElement type="secondRowStripe" dxfId="6"/>
    </tableStyle>
    <tableStyle name="DGETI(CBTIS-CETIS)-style" pivot="0" count="3">
      <tableStyleElement type="headerRow" dxfId="5"/>
      <tableStyleElement type="firstRowStripe" dxfId="4"/>
      <tableStyleElement type="secondRowStripe" dxfId="3"/>
    </tableStyle>
    <tableStyle name="DGETAYCM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B7:K100">
  <tableColumns count="10">
    <tableColumn id="1" name="Dependencia"/>
    <tableColumn id="2" name="Puesto"/>
    <tableColumn id="3" name="Nombre"/>
    <tableColumn id="4" name="Correo"/>
    <tableColumn id="5" name="Whatsapp"/>
    <tableColumn id="6" name="Telefono oficina"/>
    <tableColumn id="7" name="Estatus"/>
    <tableColumn id="8" name="Último Contacto"/>
    <tableColumn id="9" name="Próxima Acción"/>
    <tableColumn id="10" name="Notas"/>
  </tableColumns>
  <tableStyleInfo name="UANL NM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7:K100">
  <tableColumns count="10">
    <tableColumn id="1" name="Dependencia"/>
    <tableColumn id="2" name="Nombre"/>
    <tableColumn id="3" name="Puesto"/>
    <tableColumn id="4" name="Whatsapp"/>
    <tableColumn id="5" name="correo"/>
    <tableColumn id="6" name="Telefono oficina"/>
    <tableColumn id="7" name="Estatus"/>
    <tableColumn id="8" name="Último Contacto"/>
    <tableColumn id="9" name="Próxima Acción"/>
    <tableColumn id="10" name="Notas"/>
  </tableColumns>
  <tableStyleInfo name="CECYTE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B7:K100">
  <tableColumns count="10">
    <tableColumn id="1" name="Dependencia"/>
    <tableColumn id="2" name="Nombre"/>
    <tableColumn id="3" name="Puesto"/>
    <tableColumn id="4" name="Whatsapp"/>
    <tableColumn id="5" name="correo"/>
    <tableColumn id="6" name="Telefono oficina"/>
    <tableColumn id="7" name="Estatus"/>
    <tableColumn id="8" name="Último Contacto"/>
    <tableColumn id="9" name="Próxima Acción"/>
    <tableColumn id="10" name="Notas"/>
  </tableColumns>
  <tableStyleInfo name="CONALEP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B7:K92">
  <tableColumns count="10">
    <tableColumn id="1" name="Dependencia"/>
    <tableColumn id="2" name="Nombre"/>
    <tableColumn id="3" name="Puesto"/>
    <tableColumn id="4" name="Whatsapp"/>
    <tableColumn id="5" name="correo"/>
    <tableColumn id="6" name="Telefono oficina"/>
    <tableColumn id="7" name="Estatus"/>
    <tableColumn id="8" name="Último Contacto"/>
    <tableColumn id="9" name="Próxima Acción"/>
    <tableColumn id="10" name="Notas"/>
  </tableColumns>
  <tableStyleInfo name="DGETI(CBTIS-CETIS)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B7:K100">
  <tableColumns count="10">
    <tableColumn id="1" name="Dependencia"/>
    <tableColumn id="2" name="Nombre"/>
    <tableColumn id="3" name="Puesto"/>
    <tableColumn id="4" name="Whatsapp"/>
    <tableColumn id="5" name="correo"/>
    <tableColumn id="6" name="Telefono oficina"/>
    <tableColumn id="7" name="Estatus"/>
    <tableColumn id="8" name="Último Contacto"/>
    <tableColumn id="9" name="Próxima Acción"/>
    <tableColumn id="10" name="Notas"/>
  </tableColumns>
  <tableStyleInfo name="DGETAYCM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lantel213@conalepnl.edu.mx" TargetMode="External"/><Relationship Id="rId2" Type="http://schemas.openxmlformats.org/officeDocument/2006/relationships/hyperlink" Target="mailto:plantel300@conalepnl.edu.mx" TargetMode="External"/><Relationship Id="rId1" Type="http://schemas.openxmlformats.org/officeDocument/2006/relationships/hyperlink" Target="mailto:plantel037@conalepnl.edu.mx" TargetMode="Externa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aniel.pacheco@dgetaycm.sems.gob.mx" TargetMode="External"/><Relationship Id="rId1" Type="http://schemas.openxmlformats.org/officeDocument/2006/relationships/hyperlink" Target="mailto:victor.rodriguez@dgetaycm.sems.gob.mx" TargetMode="Externa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showGridLines="0" workbookViewId="0">
      <pane ySplit="7" topLeftCell="A8" activePane="bottomLeft" state="frozen"/>
      <selection pane="bottomLeft" activeCell="B7" sqref="B7:G7"/>
    </sheetView>
  </sheetViews>
  <sheetFormatPr baseColWidth="10" defaultColWidth="12.5703125" defaultRowHeight="15.75" customHeight="1"/>
  <cols>
    <col min="1" max="1" width="2.7109375" customWidth="1"/>
    <col min="2" max="2" width="18.85546875" customWidth="1"/>
    <col min="3" max="3" width="29.42578125" customWidth="1"/>
    <col min="4" max="4" width="37.85546875" customWidth="1"/>
    <col min="5" max="5" width="29.5703125" customWidth="1"/>
    <col min="6" max="6" width="22.5703125" customWidth="1"/>
    <col min="7" max="7" width="28.28515625" customWidth="1"/>
    <col min="8" max="8" width="22.5703125" customWidth="1"/>
    <col min="9" max="9" width="15.140625" customWidth="1"/>
    <col min="10" max="10" width="18.85546875" customWidth="1"/>
    <col min="11" max="11" width="25.140625" customWidth="1"/>
  </cols>
  <sheetData>
    <row r="1" spans="1:26" ht="12.75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>
      <c r="A2" s="1"/>
      <c r="B2" s="26" t="s">
        <v>0</v>
      </c>
      <c r="C2" s="27"/>
      <c r="D2" s="27"/>
      <c r="E2" s="27"/>
      <c r="F2" s="28" t="s">
        <v>1</v>
      </c>
      <c r="G2" s="27"/>
      <c r="H2" s="28" t="s">
        <v>2</v>
      </c>
      <c r="I2" s="2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>
      <c r="A3" s="1"/>
      <c r="B3" s="27"/>
      <c r="C3" s="27"/>
      <c r="D3" s="27"/>
      <c r="E3" s="27"/>
      <c r="F3" s="29">
        <f>COUNTA(B8:B100)</f>
        <v>77</v>
      </c>
      <c r="G3" s="27"/>
      <c r="H3" s="29">
        <f>COUNTIF(H8:H100, "En Negociación")</f>
        <v>0</v>
      </c>
      <c r="I3" s="2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>
      <c r="A4" s="1"/>
      <c r="B4" s="27"/>
      <c r="C4" s="27"/>
      <c r="D4" s="27"/>
      <c r="E4" s="27"/>
      <c r="F4" s="27"/>
      <c r="G4" s="27"/>
      <c r="H4" s="27"/>
      <c r="I4" s="2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>
      <c r="A7" s="2"/>
      <c r="B7" s="3" t="s">
        <v>3</v>
      </c>
      <c r="C7" s="3" t="s">
        <v>5</v>
      </c>
      <c r="D7" s="3" t="s">
        <v>4</v>
      </c>
      <c r="E7" s="3" t="s">
        <v>393</v>
      </c>
      <c r="F7" s="3" t="s">
        <v>6</v>
      </c>
      <c r="G7" s="3" t="s">
        <v>8</v>
      </c>
      <c r="H7" s="4" t="s">
        <v>9</v>
      </c>
      <c r="I7" s="4" t="s">
        <v>10</v>
      </c>
      <c r="J7" s="4" t="s">
        <v>11</v>
      </c>
      <c r="K7" s="4" t="s">
        <v>12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5" t="s">
        <v>13</v>
      </c>
      <c r="C8" s="6" t="s">
        <v>14</v>
      </c>
      <c r="D8" s="7" t="s">
        <v>15</v>
      </c>
      <c r="E8" s="7" t="s">
        <v>16</v>
      </c>
      <c r="F8" s="5" t="s">
        <v>17</v>
      </c>
      <c r="G8" s="8" t="s">
        <v>18</v>
      </c>
      <c r="H8" s="9"/>
      <c r="I8" s="9"/>
      <c r="J8" s="9"/>
      <c r="K8" s="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5" t="s">
        <v>13</v>
      </c>
      <c r="C9" s="5" t="s">
        <v>19</v>
      </c>
      <c r="D9" s="7" t="s">
        <v>20</v>
      </c>
      <c r="E9" s="7" t="s">
        <v>21</v>
      </c>
      <c r="F9" s="5">
        <v>8134754497</v>
      </c>
      <c r="G9" s="8" t="s">
        <v>22</v>
      </c>
      <c r="H9" s="9"/>
      <c r="I9" s="9"/>
      <c r="J9" s="9"/>
      <c r="K9" s="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5" t="s">
        <v>13</v>
      </c>
      <c r="C10" s="5" t="s">
        <v>23</v>
      </c>
      <c r="D10" s="7" t="s">
        <v>24</v>
      </c>
      <c r="E10" s="7" t="s">
        <v>25</v>
      </c>
      <c r="F10" s="5">
        <v>8186894656</v>
      </c>
      <c r="G10" s="8" t="s">
        <v>22</v>
      </c>
      <c r="H10" s="9"/>
      <c r="I10" s="9"/>
      <c r="J10" s="9"/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10" t="s">
        <v>26</v>
      </c>
      <c r="C11" s="11" t="s">
        <v>14</v>
      </c>
      <c r="D11" s="12" t="s">
        <v>27</v>
      </c>
      <c r="E11" s="12" t="s">
        <v>28</v>
      </c>
      <c r="F11" s="10" t="s">
        <v>17</v>
      </c>
      <c r="G11" s="8" t="s">
        <v>29</v>
      </c>
      <c r="H11" s="9"/>
      <c r="I11" s="9"/>
      <c r="J11" s="9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10" t="s">
        <v>26</v>
      </c>
      <c r="C12" s="10" t="s">
        <v>19</v>
      </c>
      <c r="D12" s="12" t="s">
        <v>30</v>
      </c>
      <c r="E12" s="12" t="s">
        <v>31</v>
      </c>
      <c r="F12" s="10">
        <v>8182592628</v>
      </c>
      <c r="G12" s="8" t="s">
        <v>22</v>
      </c>
      <c r="H12" s="9"/>
      <c r="I12" s="9"/>
      <c r="J12" s="9"/>
      <c r="K12" s="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10" t="s">
        <v>26</v>
      </c>
      <c r="C13" s="10" t="s">
        <v>23</v>
      </c>
      <c r="D13" s="12" t="s">
        <v>32</v>
      </c>
      <c r="E13" s="12" t="s">
        <v>33</v>
      </c>
      <c r="F13" s="10">
        <v>8113474496</v>
      </c>
      <c r="G13" s="8" t="s">
        <v>22</v>
      </c>
      <c r="H13" s="9"/>
      <c r="I13" s="9"/>
      <c r="J13" s="9"/>
      <c r="K13" s="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5" t="s">
        <v>34</v>
      </c>
      <c r="C14" s="6" t="s">
        <v>14</v>
      </c>
      <c r="D14" s="7" t="s">
        <v>35</v>
      </c>
      <c r="E14" s="7" t="s">
        <v>36</v>
      </c>
      <c r="F14" s="5" t="s">
        <v>17</v>
      </c>
      <c r="G14" s="8" t="s">
        <v>37</v>
      </c>
      <c r="H14" s="9"/>
      <c r="I14" s="9"/>
      <c r="J14" s="9"/>
      <c r="K14" s="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5" t="s">
        <v>34</v>
      </c>
      <c r="C15" s="5" t="s">
        <v>19</v>
      </c>
      <c r="D15" s="7" t="s">
        <v>38</v>
      </c>
      <c r="E15" s="7" t="s">
        <v>39</v>
      </c>
      <c r="F15" s="5">
        <v>8180297220</v>
      </c>
      <c r="G15" s="8" t="s">
        <v>22</v>
      </c>
      <c r="H15" s="9"/>
      <c r="I15" s="9"/>
      <c r="J15" s="9"/>
      <c r="K15" s="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5" t="s">
        <v>34</v>
      </c>
      <c r="C16" s="5" t="s">
        <v>23</v>
      </c>
      <c r="D16" s="7" t="s">
        <v>40</v>
      </c>
      <c r="E16" s="7" t="s">
        <v>41</v>
      </c>
      <c r="F16" s="5">
        <v>8117754391</v>
      </c>
      <c r="G16" s="8" t="s">
        <v>22</v>
      </c>
      <c r="H16" s="9"/>
      <c r="I16" s="9"/>
      <c r="J16" s="9"/>
      <c r="K16" s="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10" t="s">
        <v>42</v>
      </c>
      <c r="C17" s="11" t="s">
        <v>43</v>
      </c>
      <c r="D17" s="12" t="s">
        <v>44</v>
      </c>
      <c r="E17" s="12" t="s">
        <v>45</v>
      </c>
      <c r="F17" s="10" t="s">
        <v>17</v>
      </c>
      <c r="G17" s="13" t="s">
        <v>46</v>
      </c>
      <c r="H17" s="9"/>
      <c r="I17" s="9"/>
      <c r="J17" s="9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10" t="s">
        <v>42</v>
      </c>
      <c r="C18" s="10" t="s">
        <v>19</v>
      </c>
      <c r="D18" s="12" t="s">
        <v>47</v>
      </c>
      <c r="E18" s="12" t="s">
        <v>48</v>
      </c>
      <c r="F18" s="10">
        <v>8127681712</v>
      </c>
      <c r="G18" s="8" t="s">
        <v>22</v>
      </c>
      <c r="H18" s="9"/>
      <c r="I18" s="9"/>
      <c r="J18" s="9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10" t="s">
        <v>42</v>
      </c>
      <c r="C19" s="10" t="s">
        <v>23</v>
      </c>
      <c r="D19" s="12" t="s">
        <v>49</v>
      </c>
      <c r="E19" s="12" t="s">
        <v>50</v>
      </c>
      <c r="F19" s="10">
        <v>8212190071</v>
      </c>
      <c r="G19" s="8" t="s">
        <v>22</v>
      </c>
      <c r="H19" s="9"/>
      <c r="I19" s="9"/>
      <c r="J19" s="9"/>
      <c r="K19" s="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5" t="s">
        <v>51</v>
      </c>
      <c r="C20" s="6" t="s">
        <v>14</v>
      </c>
      <c r="D20" s="7" t="s">
        <v>52</v>
      </c>
      <c r="E20" s="7" t="s">
        <v>53</v>
      </c>
      <c r="F20" s="5" t="s">
        <v>17</v>
      </c>
      <c r="G20" s="13" t="s">
        <v>54</v>
      </c>
      <c r="H20" s="9"/>
      <c r="I20" s="9"/>
      <c r="J20" s="9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5" t="s">
        <v>51</v>
      </c>
      <c r="C21" s="5" t="s">
        <v>55</v>
      </c>
      <c r="D21" s="7" t="s">
        <v>56</v>
      </c>
      <c r="E21" s="7" t="s">
        <v>57</v>
      </c>
      <c r="F21" s="5">
        <v>8241065718</v>
      </c>
      <c r="G21" s="8" t="s">
        <v>22</v>
      </c>
      <c r="H21" s="9"/>
      <c r="I21" s="9"/>
      <c r="J21" s="9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10" t="s">
        <v>58</v>
      </c>
      <c r="C22" s="11" t="s">
        <v>14</v>
      </c>
      <c r="D22" s="12" t="s">
        <v>59</v>
      </c>
      <c r="E22" s="12" t="s">
        <v>60</v>
      </c>
      <c r="F22" s="10" t="s">
        <v>17</v>
      </c>
      <c r="G22" s="13" t="s">
        <v>61</v>
      </c>
      <c r="H22" s="9"/>
      <c r="I22" s="9"/>
      <c r="J22" s="9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10" t="s">
        <v>58</v>
      </c>
      <c r="C23" s="10" t="s">
        <v>19</v>
      </c>
      <c r="D23" s="12" t="s">
        <v>62</v>
      </c>
      <c r="E23" s="12" t="s">
        <v>63</v>
      </c>
      <c r="F23" s="10">
        <v>8115888644</v>
      </c>
      <c r="G23" s="8" t="s">
        <v>22</v>
      </c>
      <c r="H23" s="9"/>
      <c r="I23" s="9"/>
      <c r="J23" s="9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5" t="s">
        <v>64</v>
      </c>
      <c r="C24" s="6" t="s">
        <v>43</v>
      </c>
      <c r="D24" s="7" t="s">
        <v>65</v>
      </c>
      <c r="E24" s="7" t="s">
        <v>66</v>
      </c>
      <c r="F24" s="5" t="s">
        <v>17</v>
      </c>
      <c r="G24" s="13" t="s">
        <v>67</v>
      </c>
      <c r="H24" s="9"/>
      <c r="I24" s="9"/>
      <c r="J24" s="9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5" t="s">
        <v>64</v>
      </c>
      <c r="C25" s="5" t="s">
        <v>55</v>
      </c>
      <c r="D25" s="7" t="s">
        <v>68</v>
      </c>
      <c r="E25" s="7" t="s">
        <v>69</v>
      </c>
      <c r="F25" s="5">
        <v>8118015585</v>
      </c>
      <c r="G25" s="8" t="s">
        <v>22</v>
      </c>
      <c r="H25" s="9"/>
      <c r="I25" s="9"/>
      <c r="J25" s="9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10" t="s">
        <v>70</v>
      </c>
      <c r="C26" s="11" t="s">
        <v>14</v>
      </c>
      <c r="D26" s="12" t="s">
        <v>71</v>
      </c>
      <c r="E26" s="12" t="s">
        <v>72</v>
      </c>
      <c r="F26" s="10" t="s">
        <v>17</v>
      </c>
      <c r="G26" s="13" t="s">
        <v>73</v>
      </c>
      <c r="H26" s="9"/>
      <c r="I26" s="9"/>
      <c r="J26" s="9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10" t="s">
        <v>70</v>
      </c>
      <c r="C27" s="10" t="s">
        <v>19</v>
      </c>
      <c r="D27" s="12" t="s">
        <v>74</v>
      </c>
      <c r="E27" s="12" t="s">
        <v>75</v>
      </c>
      <c r="F27" s="10">
        <v>8110246941</v>
      </c>
      <c r="G27" s="8" t="s">
        <v>22</v>
      </c>
      <c r="H27" s="9"/>
      <c r="I27" s="9"/>
      <c r="J27" s="9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10" t="s">
        <v>70</v>
      </c>
      <c r="C28" s="10" t="s">
        <v>23</v>
      </c>
      <c r="D28" s="12" t="s">
        <v>76</v>
      </c>
      <c r="E28" s="12" t="s">
        <v>77</v>
      </c>
      <c r="F28" s="10">
        <v>8136195047</v>
      </c>
      <c r="G28" s="8" t="s">
        <v>22</v>
      </c>
      <c r="H28" s="9"/>
      <c r="I28" s="9"/>
      <c r="J28" s="9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5" t="s">
        <v>78</v>
      </c>
      <c r="C29" s="6" t="s">
        <v>14</v>
      </c>
      <c r="D29" s="7" t="s">
        <v>79</v>
      </c>
      <c r="E29" s="7" t="s">
        <v>80</v>
      </c>
      <c r="F29" s="5" t="s">
        <v>17</v>
      </c>
      <c r="G29" s="13" t="s">
        <v>81</v>
      </c>
      <c r="H29" s="9"/>
      <c r="I29" s="9"/>
      <c r="J29" s="9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5" t="s">
        <v>78</v>
      </c>
      <c r="C30" s="5" t="s">
        <v>19</v>
      </c>
      <c r="D30" s="7" t="s">
        <v>82</v>
      </c>
      <c r="E30" s="7" t="s">
        <v>83</v>
      </c>
      <c r="F30" s="5">
        <v>8110294275</v>
      </c>
      <c r="G30" s="8" t="s">
        <v>22</v>
      </c>
      <c r="H30" s="9"/>
      <c r="I30" s="9"/>
      <c r="J30" s="9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5" t="s">
        <v>78</v>
      </c>
      <c r="C31" s="5" t="s">
        <v>23</v>
      </c>
      <c r="D31" s="7" t="s">
        <v>84</v>
      </c>
      <c r="E31" s="7" t="s">
        <v>85</v>
      </c>
      <c r="F31" s="5">
        <v>8129412631</v>
      </c>
      <c r="G31" s="8" t="s">
        <v>22</v>
      </c>
      <c r="H31" s="9"/>
      <c r="I31" s="9"/>
      <c r="J31" s="9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>
      <c r="A32" s="2"/>
      <c r="B32" s="5" t="s">
        <v>78</v>
      </c>
      <c r="C32" s="5" t="s">
        <v>23</v>
      </c>
      <c r="D32" s="7" t="s">
        <v>86</v>
      </c>
      <c r="E32" s="7" t="s">
        <v>87</v>
      </c>
      <c r="F32" s="5">
        <v>8116604524</v>
      </c>
      <c r="G32" s="8" t="s">
        <v>22</v>
      </c>
      <c r="H32" s="9"/>
      <c r="I32" s="9"/>
      <c r="J32" s="9"/>
      <c r="K32" s="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>
      <c r="A33" s="2"/>
      <c r="B33" s="5" t="s">
        <v>78</v>
      </c>
      <c r="C33" s="5" t="s">
        <v>23</v>
      </c>
      <c r="D33" s="7" t="s">
        <v>88</v>
      </c>
      <c r="E33" s="7" t="s">
        <v>89</v>
      </c>
      <c r="F33" s="5">
        <v>8128923723</v>
      </c>
      <c r="G33" s="8" t="s">
        <v>22</v>
      </c>
      <c r="H33" s="9"/>
      <c r="I33" s="9"/>
      <c r="J33" s="9"/>
      <c r="K33" s="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>
      <c r="A34" s="2"/>
      <c r="B34" s="10" t="s">
        <v>90</v>
      </c>
      <c r="C34" s="11" t="s">
        <v>14</v>
      </c>
      <c r="D34" s="12" t="s">
        <v>91</v>
      </c>
      <c r="E34" s="12" t="s">
        <v>92</v>
      </c>
      <c r="F34" s="10" t="s">
        <v>17</v>
      </c>
      <c r="G34" s="13" t="s">
        <v>93</v>
      </c>
      <c r="H34" s="9"/>
      <c r="I34" s="9"/>
      <c r="J34" s="9"/>
      <c r="K34" s="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>
      <c r="A35" s="2"/>
      <c r="B35" s="10" t="s">
        <v>90</v>
      </c>
      <c r="C35" s="10" t="s">
        <v>19</v>
      </c>
      <c r="D35" s="12" t="s">
        <v>94</v>
      </c>
      <c r="E35" s="12" t="s">
        <v>95</v>
      </c>
      <c r="F35" s="10">
        <v>4881325399</v>
      </c>
      <c r="G35" s="8" t="s">
        <v>22</v>
      </c>
      <c r="H35" s="9"/>
      <c r="I35" s="9"/>
      <c r="J35" s="9"/>
      <c r="K35" s="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>
      <c r="A36" s="2"/>
      <c r="B36" s="5" t="s">
        <v>96</v>
      </c>
      <c r="C36" s="6" t="s">
        <v>14</v>
      </c>
      <c r="D36" s="7" t="s">
        <v>97</v>
      </c>
      <c r="E36" s="7" t="s">
        <v>98</v>
      </c>
      <c r="F36" s="5" t="s">
        <v>17</v>
      </c>
      <c r="G36" s="13" t="s">
        <v>99</v>
      </c>
      <c r="H36" s="9"/>
      <c r="I36" s="9"/>
      <c r="J36" s="9"/>
      <c r="K36" s="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>
      <c r="A37" s="2"/>
      <c r="B37" s="5" t="s">
        <v>96</v>
      </c>
      <c r="C37" s="5" t="s">
        <v>19</v>
      </c>
      <c r="D37" s="7" t="s">
        <v>100</v>
      </c>
      <c r="E37" s="7" t="s">
        <v>101</v>
      </c>
      <c r="F37" s="5" t="s">
        <v>102</v>
      </c>
      <c r="G37" s="8" t="s">
        <v>22</v>
      </c>
      <c r="H37" s="9"/>
      <c r="I37" s="9"/>
      <c r="J37" s="9"/>
      <c r="K37" s="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2"/>
      <c r="B38" s="10" t="s">
        <v>103</v>
      </c>
      <c r="C38" s="11" t="s">
        <v>14</v>
      </c>
      <c r="D38" s="12" t="s">
        <v>104</v>
      </c>
      <c r="E38" s="12" t="s">
        <v>105</v>
      </c>
      <c r="F38" s="10" t="s">
        <v>17</v>
      </c>
      <c r="G38" s="13" t="s">
        <v>106</v>
      </c>
      <c r="H38" s="9"/>
      <c r="I38" s="9"/>
      <c r="J38" s="9"/>
      <c r="K38" s="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2"/>
      <c r="B39" s="10" t="s">
        <v>103</v>
      </c>
      <c r="C39" s="10" t="s">
        <v>19</v>
      </c>
      <c r="D39" s="12" t="s">
        <v>107</v>
      </c>
      <c r="E39" s="12" t="s">
        <v>108</v>
      </c>
      <c r="F39" s="10">
        <v>8281028826</v>
      </c>
      <c r="G39" s="8" t="s">
        <v>22</v>
      </c>
      <c r="H39" s="9"/>
      <c r="I39" s="9"/>
      <c r="J39" s="9"/>
      <c r="K39" s="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2"/>
      <c r="B40" s="5" t="s">
        <v>109</v>
      </c>
      <c r="C40" s="6" t="s">
        <v>14</v>
      </c>
      <c r="D40" s="7" t="s">
        <v>110</v>
      </c>
      <c r="E40" s="7" t="s">
        <v>111</v>
      </c>
      <c r="F40" s="5" t="s">
        <v>17</v>
      </c>
      <c r="G40" s="13" t="s">
        <v>112</v>
      </c>
      <c r="H40" s="9"/>
      <c r="I40" s="9"/>
      <c r="J40" s="9"/>
      <c r="K40" s="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>
      <c r="A41" s="2"/>
      <c r="B41" s="5" t="s">
        <v>109</v>
      </c>
      <c r="C41" s="5" t="s">
        <v>55</v>
      </c>
      <c r="D41" s="7" t="s">
        <v>113</v>
      </c>
      <c r="E41" s="7" t="s">
        <v>114</v>
      </c>
      <c r="F41" s="5">
        <v>8110104654</v>
      </c>
      <c r="G41" s="8" t="s">
        <v>22</v>
      </c>
      <c r="H41" s="9"/>
      <c r="I41" s="9"/>
      <c r="J41" s="9"/>
      <c r="K41" s="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>
      <c r="A42" s="2"/>
      <c r="B42" s="10" t="s">
        <v>115</v>
      </c>
      <c r="C42" s="11" t="s">
        <v>14</v>
      </c>
      <c r="D42" s="12" t="s">
        <v>116</v>
      </c>
      <c r="E42" s="12" t="s">
        <v>117</v>
      </c>
      <c r="F42" s="10" t="s">
        <v>17</v>
      </c>
      <c r="G42" s="13" t="s">
        <v>118</v>
      </c>
      <c r="H42" s="9"/>
      <c r="I42" s="9"/>
      <c r="J42" s="9"/>
      <c r="K42" s="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>
      <c r="A43" s="2"/>
      <c r="B43" s="10" t="s">
        <v>115</v>
      </c>
      <c r="C43" s="10" t="s">
        <v>55</v>
      </c>
      <c r="D43" s="12" t="s">
        <v>119</v>
      </c>
      <c r="E43" s="12" t="s">
        <v>120</v>
      </c>
      <c r="F43" s="10" t="s">
        <v>121</v>
      </c>
      <c r="G43" s="8" t="s">
        <v>22</v>
      </c>
      <c r="H43" s="9"/>
      <c r="I43" s="9"/>
      <c r="J43" s="9"/>
      <c r="K43" s="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2"/>
      <c r="B44" s="5" t="s">
        <v>122</v>
      </c>
      <c r="C44" s="6" t="s">
        <v>14</v>
      </c>
      <c r="D44" s="7" t="s">
        <v>123</v>
      </c>
      <c r="E44" s="7" t="s">
        <v>124</v>
      </c>
      <c r="F44" s="5" t="s">
        <v>17</v>
      </c>
      <c r="G44" s="13" t="s">
        <v>125</v>
      </c>
      <c r="H44" s="9"/>
      <c r="I44" s="9"/>
      <c r="J44" s="9"/>
      <c r="K44" s="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2"/>
      <c r="B45" s="5" t="s">
        <v>122</v>
      </c>
      <c r="C45" s="5" t="s">
        <v>19</v>
      </c>
      <c r="D45" s="7" t="s">
        <v>126</v>
      </c>
      <c r="E45" s="7" t="s">
        <v>127</v>
      </c>
      <c r="F45" s="5">
        <v>8125671027</v>
      </c>
      <c r="G45" s="8" t="s">
        <v>22</v>
      </c>
      <c r="H45" s="9"/>
      <c r="I45" s="9"/>
      <c r="J45" s="9"/>
      <c r="K45" s="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2"/>
      <c r="B46" s="5" t="s">
        <v>122</v>
      </c>
      <c r="C46" s="5" t="s">
        <v>23</v>
      </c>
      <c r="D46" s="7" t="s">
        <v>128</v>
      </c>
      <c r="E46" s="7" t="s">
        <v>129</v>
      </c>
      <c r="F46" s="5">
        <v>8112120436</v>
      </c>
      <c r="G46" s="8" t="s">
        <v>22</v>
      </c>
      <c r="H46" s="9"/>
      <c r="I46" s="9"/>
      <c r="J46" s="9"/>
      <c r="K46" s="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>
      <c r="A47" s="2"/>
      <c r="B47" s="10" t="s">
        <v>130</v>
      </c>
      <c r="C47" s="11" t="s">
        <v>43</v>
      </c>
      <c r="D47" s="12" t="s">
        <v>131</v>
      </c>
      <c r="E47" s="12" t="s">
        <v>132</v>
      </c>
      <c r="F47" s="10" t="s">
        <v>17</v>
      </c>
      <c r="G47" s="13" t="s">
        <v>133</v>
      </c>
      <c r="H47" s="9"/>
      <c r="I47" s="9"/>
      <c r="J47" s="9"/>
      <c r="K47" s="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2"/>
      <c r="B48" s="10" t="s">
        <v>130</v>
      </c>
      <c r="C48" s="10" t="s">
        <v>19</v>
      </c>
      <c r="D48" s="12" t="s">
        <v>134</v>
      </c>
      <c r="E48" s="12" t="s">
        <v>135</v>
      </c>
      <c r="F48" s="10">
        <v>8180888724</v>
      </c>
      <c r="G48" s="8" t="s">
        <v>22</v>
      </c>
      <c r="H48" s="9"/>
      <c r="I48" s="9"/>
      <c r="J48" s="9"/>
      <c r="K48" s="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2"/>
      <c r="B49" s="10" t="s">
        <v>130</v>
      </c>
      <c r="C49" s="10" t="s">
        <v>23</v>
      </c>
      <c r="D49" s="12" t="s">
        <v>136</v>
      </c>
      <c r="E49" s="12" t="s">
        <v>137</v>
      </c>
      <c r="F49" s="10">
        <v>8126908090</v>
      </c>
      <c r="G49" s="8" t="s">
        <v>22</v>
      </c>
      <c r="H49" s="9"/>
      <c r="I49" s="9"/>
      <c r="J49" s="9"/>
      <c r="K49" s="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2"/>
      <c r="B50" s="5" t="s">
        <v>138</v>
      </c>
      <c r="C50" s="6" t="s">
        <v>14</v>
      </c>
      <c r="D50" s="7" t="s">
        <v>139</v>
      </c>
      <c r="E50" s="7" t="s">
        <v>140</v>
      </c>
      <c r="F50" s="5" t="s">
        <v>17</v>
      </c>
      <c r="G50" s="13" t="s">
        <v>141</v>
      </c>
      <c r="H50" s="9"/>
      <c r="I50" s="9"/>
      <c r="J50" s="9"/>
      <c r="K50" s="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>
      <c r="A51" s="2"/>
      <c r="B51" s="5" t="s">
        <v>138</v>
      </c>
      <c r="C51" s="5" t="s">
        <v>55</v>
      </c>
      <c r="D51" s="7" t="s">
        <v>142</v>
      </c>
      <c r="E51" s="7" t="s">
        <v>143</v>
      </c>
      <c r="F51" s="5">
        <v>8110506317</v>
      </c>
      <c r="G51" s="8" t="s">
        <v>22</v>
      </c>
      <c r="H51" s="9"/>
      <c r="I51" s="9"/>
      <c r="J51" s="9"/>
      <c r="K51" s="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>
      <c r="A52" s="2"/>
      <c r="B52" s="5" t="s">
        <v>138</v>
      </c>
      <c r="C52" s="5" t="s">
        <v>23</v>
      </c>
      <c r="D52" s="7" t="s">
        <v>144</v>
      </c>
      <c r="E52" s="7" t="s">
        <v>145</v>
      </c>
      <c r="F52" s="5">
        <v>8181881065</v>
      </c>
      <c r="G52" s="8" t="s">
        <v>22</v>
      </c>
      <c r="H52" s="9"/>
      <c r="I52" s="9"/>
      <c r="J52" s="9"/>
      <c r="K52" s="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2"/>
      <c r="B53" s="10" t="s">
        <v>146</v>
      </c>
      <c r="C53" s="11" t="s">
        <v>14</v>
      </c>
      <c r="D53" s="12" t="s">
        <v>147</v>
      </c>
      <c r="E53" s="12" t="s">
        <v>148</v>
      </c>
      <c r="F53" s="10" t="s">
        <v>17</v>
      </c>
      <c r="G53" s="13" t="s">
        <v>149</v>
      </c>
      <c r="H53" s="9"/>
      <c r="I53" s="9"/>
      <c r="J53" s="9"/>
      <c r="K53" s="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2"/>
      <c r="B54" s="10" t="s">
        <v>146</v>
      </c>
      <c r="C54" s="10" t="s">
        <v>19</v>
      </c>
      <c r="D54" s="12" t="s">
        <v>150</v>
      </c>
      <c r="E54" s="12" t="s">
        <v>151</v>
      </c>
      <c r="F54" s="10">
        <v>8115590685</v>
      </c>
      <c r="G54" s="8" t="s">
        <v>22</v>
      </c>
      <c r="H54" s="9"/>
      <c r="I54" s="9"/>
      <c r="J54" s="9"/>
      <c r="K54" s="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2"/>
      <c r="B55" s="5" t="s">
        <v>152</v>
      </c>
      <c r="C55" s="6" t="s">
        <v>14</v>
      </c>
      <c r="D55" s="7" t="s">
        <v>153</v>
      </c>
      <c r="E55" s="7" t="s">
        <v>154</v>
      </c>
      <c r="F55" s="5" t="s">
        <v>17</v>
      </c>
      <c r="G55" s="13" t="s">
        <v>155</v>
      </c>
      <c r="H55" s="9"/>
      <c r="I55" s="9"/>
      <c r="J55" s="9"/>
      <c r="K55" s="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2"/>
      <c r="B56" s="5" t="s">
        <v>152</v>
      </c>
      <c r="C56" s="5" t="s">
        <v>19</v>
      </c>
      <c r="D56" s="7" t="s">
        <v>156</v>
      </c>
      <c r="E56" s="7" t="s">
        <v>157</v>
      </c>
      <c r="F56" s="5">
        <v>8111279727</v>
      </c>
      <c r="G56" s="8" t="s">
        <v>22</v>
      </c>
      <c r="H56" s="9"/>
      <c r="I56" s="9"/>
      <c r="J56" s="9"/>
      <c r="K56" s="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2"/>
      <c r="B57" s="5" t="s">
        <v>152</v>
      </c>
      <c r="C57" s="5" t="s">
        <v>55</v>
      </c>
      <c r="D57" s="7" t="s">
        <v>158</v>
      </c>
      <c r="E57" s="7" t="s">
        <v>159</v>
      </c>
      <c r="F57" s="5">
        <v>8110282520</v>
      </c>
      <c r="G57" s="8" t="s">
        <v>22</v>
      </c>
      <c r="H57" s="9"/>
      <c r="I57" s="9"/>
      <c r="J57" s="9"/>
      <c r="K57" s="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2"/>
      <c r="B58" s="10" t="s">
        <v>160</v>
      </c>
      <c r="C58" s="11" t="s">
        <v>14</v>
      </c>
      <c r="D58" s="12" t="s">
        <v>161</v>
      </c>
      <c r="E58" s="12" t="s">
        <v>162</v>
      </c>
      <c r="F58" s="10" t="s">
        <v>17</v>
      </c>
      <c r="G58" s="13" t="s">
        <v>163</v>
      </c>
      <c r="H58" s="9"/>
      <c r="I58" s="9"/>
      <c r="J58" s="9"/>
      <c r="K58" s="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>
      <c r="A59" s="2"/>
      <c r="B59" s="10" t="s">
        <v>160</v>
      </c>
      <c r="C59" s="10" t="s">
        <v>19</v>
      </c>
      <c r="D59" s="12" t="s">
        <v>164</v>
      </c>
      <c r="E59" s="12" t="s">
        <v>165</v>
      </c>
      <c r="F59" s="10">
        <v>8187082560</v>
      </c>
      <c r="G59" s="8" t="s">
        <v>22</v>
      </c>
      <c r="H59" s="9"/>
      <c r="I59" s="9"/>
      <c r="J59" s="9"/>
      <c r="K59" s="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2"/>
      <c r="B60" s="10" t="s">
        <v>160</v>
      </c>
      <c r="C60" s="10" t="s">
        <v>23</v>
      </c>
      <c r="D60" s="12" t="s">
        <v>166</v>
      </c>
      <c r="E60" s="12" t="s">
        <v>167</v>
      </c>
      <c r="F60" s="10">
        <v>8180889179</v>
      </c>
      <c r="G60" s="8" t="s">
        <v>22</v>
      </c>
      <c r="H60" s="9"/>
      <c r="I60" s="9"/>
      <c r="J60" s="9"/>
      <c r="K60" s="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2"/>
      <c r="B61" s="10" t="s">
        <v>160</v>
      </c>
      <c r="C61" s="10" t="s">
        <v>23</v>
      </c>
      <c r="D61" s="12" t="s">
        <v>168</v>
      </c>
      <c r="E61" s="12" t="s">
        <v>169</v>
      </c>
      <c r="F61" s="10">
        <v>8116013233</v>
      </c>
      <c r="G61" s="8" t="s">
        <v>22</v>
      </c>
      <c r="H61" s="9"/>
      <c r="I61" s="9"/>
      <c r="J61" s="9"/>
      <c r="K61" s="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2"/>
      <c r="B62" s="5" t="s">
        <v>170</v>
      </c>
      <c r="C62" s="6" t="s">
        <v>14</v>
      </c>
      <c r="D62" s="7" t="s">
        <v>171</v>
      </c>
      <c r="E62" s="7" t="s">
        <v>172</v>
      </c>
      <c r="F62" s="5" t="s">
        <v>17</v>
      </c>
      <c r="G62" s="13" t="s">
        <v>173</v>
      </c>
      <c r="H62" s="9"/>
      <c r="I62" s="9"/>
      <c r="J62" s="9"/>
      <c r="K62" s="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2"/>
      <c r="B63" s="5" t="s">
        <v>170</v>
      </c>
      <c r="C63" s="5" t="s">
        <v>55</v>
      </c>
      <c r="D63" s="7" t="s">
        <v>174</v>
      </c>
      <c r="E63" s="7" t="s">
        <v>175</v>
      </c>
      <c r="F63" s="5">
        <v>8116033399</v>
      </c>
      <c r="G63" s="8" t="s">
        <v>22</v>
      </c>
      <c r="H63" s="9"/>
      <c r="I63" s="9"/>
      <c r="J63" s="9"/>
      <c r="K63" s="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2"/>
      <c r="B64" s="10" t="s">
        <v>176</v>
      </c>
      <c r="C64" s="11" t="s">
        <v>14</v>
      </c>
      <c r="D64" s="12" t="s">
        <v>177</v>
      </c>
      <c r="E64" s="12" t="s">
        <v>178</v>
      </c>
      <c r="F64" s="10" t="s">
        <v>17</v>
      </c>
      <c r="G64" s="13" t="s">
        <v>179</v>
      </c>
      <c r="H64" s="9"/>
      <c r="I64" s="9"/>
      <c r="J64" s="9"/>
      <c r="K64" s="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2"/>
      <c r="B65" s="10" t="s">
        <v>176</v>
      </c>
      <c r="C65" s="10" t="s">
        <v>55</v>
      </c>
      <c r="D65" s="12" t="s">
        <v>180</v>
      </c>
      <c r="E65" s="12" t="s">
        <v>181</v>
      </c>
      <c r="F65" s="10">
        <v>8181857596</v>
      </c>
      <c r="G65" s="8" t="s">
        <v>22</v>
      </c>
      <c r="H65" s="9"/>
      <c r="I65" s="9"/>
      <c r="J65" s="9"/>
      <c r="K65" s="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>
      <c r="A66" s="2"/>
      <c r="B66" s="10" t="s">
        <v>176</v>
      </c>
      <c r="C66" s="10" t="s">
        <v>23</v>
      </c>
      <c r="D66" s="12" t="s">
        <v>182</v>
      </c>
      <c r="E66" s="12" t="s">
        <v>183</v>
      </c>
      <c r="F66" s="10">
        <v>8112405381</v>
      </c>
      <c r="G66" s="8" t="s">
        <v>22</v>
      </c>
      <c r="H66" s="9"/>
      <c r="I66" s="9"/>
      <c r="J66" s="9"/>
      <c r="K66" s="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>
      <c r="A67" s="2"/>
      <c r="B67" s="10" t="s">
        <v>176</v>
      </c>
      <c r="C67" s="10" t="s">
        <v>23</v>
      </c>
      <c r="D67" s="12" t="s">
        <v>184</v>
      </c>
      <c r="E67" s="12" t="s">
        <v>185</v>
      </c>
      <c r="F67" s="10">
        <v>8110278587</v>
      </c>
      <c r="G67" s="8" t="s">
        <v>22</v>
      </c>
      <c r="H67" s="9"/>
      <c r="I67" s="9"/>
      <c r="J67" s="9"/>
      <c r="K67" s="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>
      <c r="A68" s="2"/>
      <c r="B68" s="5" t="s">
        <v>186</v>
      </c>
      <c r="C68" s="6" t="s">
        <v>14</v>
      </c>
      <c r="D68" s="7" t="s">
        <v>187</v>
      </c>
      <c r="E68" s="7" t="s">
        <v>188</v>
      </c>
      <c r="F68" s="5" t="s">
        <v>17</v>
      </c>
      <c r="G68" s="13" t="s">
        <v>189</v>
      </c>
      <c r="H68" s="9"/>
      <c r="I68" s="9"/>
      <c r="J68" s="9"/>
      <c r="K68" s="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2"/>
      <c r="B69" s="5" t="s">
        <v>186</v>
      </c>
      <c r="C69" s="5" t="s">
        <v>55</v>
      </c>
      <c r="D69" s="7" t="s">
        <v>190</v>
      </c>
      <c r="E69" s="7" t="s">
        <v>191</v>
      </c>
      <c r="F69" s="5">
        <v>8112698855</v>
      </c>
      <c r="G69" s="8" t="s">
        <v>22</v>
      </c>
      <c r="H69" s="9"/>
      <c r="I69" s="9"/>
      <c r="J69" s="9"/>
      <c r="K69" s="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>
      <c r="A70" s="2"/>
      <c r="B70" s="10" t="s">
        <v>192</v>
      </c>
      <c r="C70" s="11" t="s">
        <v>14</v>
      </c>
      <c r="D70" s="12" t="s">
        <v>193</v>
      </c>
      <c r="E70" s="12" t="s">
        <v>194</v>
      </c>
      <c r="F70" s="10" t="s">
        <v>17</v>
      </c>
      <c r="G70" s="13" t="s">
        <v>195</v>
      </c>
      <c r="H70" s="9"/>
      <c r="I70" s="9"/>
      <c r="J70" s="9"/>
      <c r="K70" s="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>
      <c r="A71" s="2"/>
      <c r="B71" s="10" t="s">
        <v>192</v>
      </c>
      <c r="C71" s="10" t="s">
        <v>55</v>
      </c>
      <c r="D71" s="12" t="s">
        <v>196</v>
      </c>
      <c r="E71" s="12" t="s">
        <v>197</v>
      </c>
      <c r="F71" s="10">
        <v>8731003213</v>
      </c>
      <c r="G71" s="8" t="s">
        <v>22</v>
      </c>
      <c r="H71" s="9"/>
      <c r="I71" s="9"/>
      <c r="J71" s="9"/>
      <c r="K71" s="9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>
      <c r="A72" s="2"/>
      <c r="B72" s="5" t="s">
        <v>198</v>
      </c>
      <c r="C72" s="6" t="s">
        <v>14</v>
      </c>
      <c r="D72" s="7" t="s">
        <v>199</v>
      </c>
      <c r="E72" s="7" t="s">
        <v>200</v>
      </c>
      <c r="F72" s="5" t="s">
        <v>17</v>
      </c>
      <c r="G72" s="13" t="s">
        <v>201</v>
      </c>
      <c r="H72" s="9"/>
      <c r="I72" s="9"/>
      <c r="J72" s="9"/>
      <c r="K72" s="9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>
      <c r="A73" s="2"/>
      <c r="B73" s="5" t="s">
        <v>198</v>
      </c>
      <c r="C73" s="5" t="s">
        <v>19</v>
      </c>
      <c r="D73" s="7" t="s">
        <v>202</v>
      </c>
      <c r="E73" s="7" t="s">
        <v>203</v>
      </c>
      <c r="F73" s="5">
        <v>8110811681</v>
      </c>
      <c r="G73" s="8" t="s">
        <v>22</v>
      </c>
      <c r="H73" s="9"/>
      <c r="I73" s="9"/>
      <c r="J73" s="9"/>
      <c r="K73" s="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>
      <c r="A74" s="2"/>
      <c r="B74" s="10" t="s">
        <v>204</v>
      </c>
      <c r="C74" s="11" t="s">
        <v>14</v>
      </c>
      <c r="D74" s="12" t="s">
        <v>205</v>
      </c>
      <c r="E74" s="12" t="s">
        <v>206</v>
      </c>
      <c r="F74" s="10" t="s">
        <v>17</v>
      </c>
      <c r="G74" s="13" t="s">
        <v>207</v>
      </c>
      <c r="H74" s="9"/>
      <c r="I74" s="9"/>
      <c r="J74" s="9"/>
      <c r="K74" s="9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>
      <c r="A75" s="2"/>
      <c r="B75" s="10" t="s">
        <v>204</v>
      </c>
      <c r="C75" s="10" t="s">
        <v>19</v>
      </c>
      <c r="D75" s="12" t="s">
        <v>208</v>
      </c>
      <c r="E75" s="12" t="s">
        <v>209</v>
      </c>
      <c r="F75" s="10">
        <v>8112300944</v>
      </c>
      <c r="G75" s="8" t="s">
        <v>22</v>
      </c>
      <c r="H75" s="9"/>
      <c r="I75" s="9"/>
      <c r="J75" s="9"/>
      <c r="K75" s="9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>
      <c r="A76" s="2"/>
      <c r="B76" s="10" t="s">
        <v>204</v>
      </c>
      <c r="C76" s="10" t="s">
        <v>23</v>
      </c>
      <c r="D76" s="12" t="s">
        <v>210</v>
      </c>
      <c r="E76" s="12" t="s">
        <v>211</v>
      </c>
      <c r="F76" s="10">
        <v>8115193174</v>
      </c>
      <c r="G76" s="8" t="s">
        <v>22</v>
      </c>
      <c r="H76" s="9"/>
      <c r="I76" s="9"/>
      <c r="J76" s="9"/>
      <c r="K76" s="9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>
      <c r="A77" s="2"/>
      <c r="B77" s="5" t="s">
        <v>212</v>
      </c>
      <c r="C77" s="6" t="s">
        <v>14</v>
      </c>
      <c r="D77" s="7" t="s">
        <v>213</v>
      </c>
      <c r="E77" s="7" t="s">
        <v>214</v>
      </c>
      <c r="F77" s="5" t="s">
        <v>17</v>
      </c>
      <c r="G77" s="13" t="s">
        <v>215</v>
      </c>
      <c r="H77" s="9"/>
      <c r="I77" s="9"/>
      <c r="J77" s="9"/>
      <c r="K77" s="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>
      <c r="A78" s="2"/>
      <c r="B78" s="5" t="s">
        <v>212</v>
      </c>
      <c r="C78" s="5" t="s">
        <v>19</v>
      </c>
      <c r="D78" s="7" t="s">
        <v>216</v>
      </c>
      <c r="E78" s="7" t="s">
        <v>217</v>
      </c>
      <c r="F78" s="5">
        <v>8134218130</v>
      </c>
      <c r="G78" s="8" t="s">
        <v>22</v>
      </c>
      <c r="H78" s="9"/>
      <c r="I78" s="9"/>
      <c r="J78" s="9"/>
      <c r="K78" s="9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>
      <c r="A79" s="2"/>
      <c r="B79" s="5" t="s">
        <v>212</v>
      </c>
      <c r="C79" s="5" t="s">
        <v>23</v>
      </c>
      <c r="D79" s="7" t="s">
        <v>218</v>
      </c>
      <c r="E79" s="7" t="s">
        <v>219</v>
      </c>
      <c r="F79" s="5">
        <v>8115642719</v>
      </c>
      <c r="G79" s="8" t="s">
        <v>22</v>
      </c>
      <c r="H79" s="9"/>
      <c r="I79" s="9"/>
      <c r="J79" s="9"/>
      <c r="K79" s="9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>
      <c r="A80" s="2"/>
      <c r="B80" s="10" t="s">
        <v>220</v>
      </c>
      <c r="C80" s="11" t="s">
        <v>14</v>
      </c>
      <c r="D80" s="12" t="s">
        <v>221</v>
      </c>
      <c r="E80" s="12" t="s">
        <v>222</v>
      </c>
      <c r="F80" s="10" t="s">
        <v>17</v>
      </c>
      <c r="G80" s="13" t="s">
        <v>223</v>
      </c>
      <c r="H80" s="9"/>
      <c r="I80" s="9"/>
      <c r="J80" s="9"/>
      <c r="K80" s="9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>
      <c r="A81" s="2"/>
      <c r="B81" s="10" t="s">
        <v>220</v>
      </c>
      <c r="C81" s="10" t="s">
        <v>19</v>
      </c>
      <c r="D81" s="12" t="s">
        <v>224</v>
      </c>
      <c r="E81" s="12" t="s">
        <v>225</v>
      </c>
      <c r="F81" s="10">
        <v>8110518146</v>
      </c>
      <c r="G81" s="8" t="s">
        <v>22</v>
      </c>
      <c r="H81" s="9"/>
      <c r="I81" s="9"/>
      <c r="J81" s="9"/>
      <c r="K81" s="9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>
      <c r="A82" s="2"/>
      <c r="B82" s="10" t="s">
        <v>220</v>
      </c>
      <c r="C82" s="10" t="s">
        <v>23</v>
      </c>
      <c r="D82" s="12" t="s">
        <v>226</v>
      </c>
      <c r="E82" s="12" t="s">
        <v>227</v>
      </c>
      <c r="F82" s="10">
        <v>8111189542</v>
      </c>
      <c r="G82" s="8" t="s">
        <v>22</v>
      </c>
      <c r="H82" s="9"/>
      <c r="I82" s="9"/>
      <c r="J82" s="9"/>
      <c r="K82" s="9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>
      <c r="A83" s="2"/>
      <c r="B83" s="5" t="s">
        <v>228</v>
      </c>
      <c r="C83" s="6" t="s">
        <v>43</v>
      </c>
      <c r="D83" s="7" t="s">
        <v>229</v>
      </c>
      <c r="E83" s="7" t="s">
        <v>230</v>
      </c>
      <c r="F83" s="5" t="s">
        <v>17</v>
      </c>
      <c r="G83" s="13" t="s">
        <v>231</v>
      </c>
      <c r="H83" s="9"/>
      <c r="I83" s="9"/>
      <c r="J83" s="9"/>
      <c r="K83" s="9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>
      <c r="A84" s="2"/>
      <c r="B84" s="5" t="s">
        <v>228</v>
      </c>
      <c r="C84" s="5" t="s">
        <v>19</v>
      </c>
      <c r="D84" s="7" t="s">
        <v>232</v>
      </c>
      <c r="E84" s="7" t="s">
        <v>233</v>
      </c>
      <c r="F84" s="5">
        <v>8135869414</v>
      </c>
      <c r="G84" s="8" t="s">
        <v>22</v>
      </c>
      <c r="H84" s="9"/>
      <c r="I84" s="9"/>
      <c r="J84" s="9"/>
      <c r="K84" s="9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2"/>
      <c r="B85" s="9"/>
      <c r="C85" s="9"/>
      <c r="D85" s="9"/>
      <c r="E85" s="9"/>
      <c r="F85" s="9"/>
      <c r="G85" s="9"/>
      <c r="H85" s="9"/>
      <c r="I85" s="9"/>
      <c r="J85" s="9"/>
      <c r="K85" s="9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2"/>
      <c r="B86" s="9"/>
      <c r="C86" s="9"/>
      <c r="D86" s="9"/>
      <c r="E86" s="9"/>
      <c r="F86" s="9"/>
      <c r="G86" s="9"/>
      <c r="H86" s="9"/>
      <c r="I86" s="9"/>
      <c r="J86" s="9"/>
      <c r="K86" s="9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2"/>
      <c r="B87" s="9"/>
      <c r="C87" s="9"/>
      <c r="D87" s="9"/>
      <c r="E87" s="9"/>
      <c r="F87" s="9"/>
      <c r="G87" s="9"/>
      <c r="H87" s="9"/>
      <c r="I87" s="9"/>
      <c r="J87" s="9"/>
      <c r="K87" s="9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2"/>
      <c r="B88" s="9"/>
      <c r="C88" s="9"/>
      <c r="D88" s="9"/>
      <c r="E88" s="9"/>
      <c r="F88" s="9"/>
      <c r="G88" s="9"/>
      <c r="H88" s="9"/>
      <c r="I88" s="9"/>
      <c r="J88" s="9"/>
      <c r="K88" s="9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2"/>
      <c r="B89" s="9"/>
      <c r="C89" s="9"/>
      <c r="D89" s="9"/>
      <c r="E89" s="9"/>
      <c r="F89" s="9"/>
      <c r="G89" s="9"/>
      <c r="H89" s="9"/>
      <c r="I89" s="9"/>
      <c r="J89" s="9"/>
      <c r="K89" s="9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2"/>
      <c r="B90" s="9"/>
      <c r="C90" s="9"/>
      <c r="D90" s="9"/>
      <c r="E90" s="9"/>
      <c r="F90" s="9"/>
      <c r="G90" s="9"/>
      <c r="H90" s="9"/>
      <c r="I90" s="9"/>
      <c r="J90" s="9"/>
      <c r="K90" s="9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2"/>
      <c r="B91" s="9"/>
      <c r="C91" s="9"/>
      <c r="D91" s="9"/>
      <c r="E91" s="9"/>
      <c r="F91" s="9"/>
      <c r="G91" s="9"/>
      <c r="H91" s="9"/>
      <c r="I91" s="9"/>
      <c r="J91" s="9"/>
      <c r="K91" s="9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2"/>
      <c r="B92" s="9"/>
      <c r="C92" s="9"/>
      <c r="D92" s="9"/>
      <c r="E92" s="9"/>
      <c r="F92" s="9"/>
      <c r="G92" s="9"/>
      <c r="H92" s="9"/>
      <c r="I92" s="9"/>
      <c r="J92" s="9"/>
      <c r="K92" s="9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2"/>
      <c r="B93" s="9"/>
      <c r="C93" s="9"/>
      <c r="D93" s="9"/>
      <c r="E93" s="9"/>
      <c r="F93" s="9"/>
      <c r="G93" s="9"/>
      <c r="H93" s="9"/>
      <c r="I93" s="9"/>
      <c r="J93" s="9"/>
      <c r="K93" s="9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2"/>
      <c r="B94" s="9"/>
      <c r="C94" s="9"/>
      <c r="D94" s="9"/>
      <c r="E94" s="9"/>
      <c r="F94" s="9"/>
      <c r="G94" s="9"/>
      <c r="H94" s="9"/>
      <c r="I94" s="9"/>
      <c r="J94" s="9"/>
      <c r="K94" s="9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/>
      <c r="B95" s="9"/>
      <c r="C95" s="9"/>
      <c r="D95" s="9"/>
      <c r="E95" s="9"/>
      <c r="F95" s="9"/>
      <c r="G95" s="9"/>
      <c r="H95" s="9"/>
      <c r="I95" s="9"/>
      <c r="J95" s="9"/>
      <c r="K95" s="9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2"/>
      <c r="B96" s="9"/>
      <c r="C96" s="9"/>
      <c r="D96" s="9"/>
      <c r="E96" s="9"/>
      <c r="F96" s="9"/>
      <c r="G96" s="9"/>
      <c r="H96" s="9"/>
      <c r="I96" s="9"/>
      <c r="J96" s="9"/>
      <c r="K96" s="9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/>
      <c r="B97" s="9"/>
      <c r="C97" s="9"/>
      <c r="D97" s="9"/>
      <c r="E97" s="9"/>
      <c r="F97" s="9"/>
      <c r="G97" s="9"/>
      <c r="H97" s="9"/>
      <c r="I97" s="9"/>
      <c r="J97" s="9"/>
      <c r="K97" s="9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/>
      <c r="B98" s="9"/>
      <c r="C98" s="9"/>
      <c r="D98" s="9"/>
      <c r="E98" s="9"/>
      <c r="F98" s="9"/>
      <c r="G98" s="9"/>
      <c r="H98" s="9"/>
      <c r="I98" s="9"/>
      <c r="J98" s="9"/>
      <c r="K98" s="9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2"/>
      <c r="B99" s="9"/>
      <c r="C99" s="9"/>
      <c r="D99" s="9"/>
      <c r="E99" s="9"/>
      <c r="F99" s="9"/>
      <c r="G99" s="9"/>
      <c r="H99" s="9"/>
      <c r="I99" s="9"/>
      <c r="J99" s="9"/>
      <c r="K99" s="9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2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B2:E4"/>
    <mergeCell ref="F2:G2"/>
    <mergeCell ref="H2:I2"/>
    <mergeCell ref="F3:G4"/>
    <mergeCell ref="H3:I4"/>
  </mergeCells>
  <dataValidations count="1">
    <dataValidation type="list" allowBlank="1" sqref="H8:H100">
      <formula1>"Nuevo,Contactado,En Negociación,Cerrado"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10" defaultColWidth="12.5703125" defaultRowHeight="15.75" customHeight="1"/>
  <cols>
    <col min="1" max="1" width="2.7109375" customWidth="1"/>
    <col min="2" max="2" width="27" customWidth="1"/>
    <col min="3" max="3" width="29.42578125" customWidth="1"/>
    <col min="4" max="4" width="37.85546875" customWidth="1"/>
    <col min="5" max="5" width="29.5703125" customWidth="1"/>
    <col min="6" max="6" width="30.85546875" customWidth="1"/>
    <col min="7" max="7" width="28.28515625" customWidth="1"/>
    <col min="8" max="8" width="22.5703125" customWidth="1"/>
    <col min="9" max="9" width="15.140625" customWidth="1"/>
    <col min="10" max="10" width="18.85546875" customWidth="1"/>
    <col min="11" max="11" width="25.140625" customWidth="1"/>
  </cols>
  <sheetData>
    <row r="1" spans="1:26" ht="12.75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>
      <c r="A2" s="1"/>
      <c r="B2" s="26" t="s">
        <v>0</v>
      </c>
      <c r="C2" s="27"/>
      <c r="D2" s="27"/>
      <c r="E2" s="27"/>
      <c r="F2" s="28" t="s">
        <v>1</v>
      </c>
      <c r="G2" s="27"/>
      <c r="H2" s="28" t="s">
        <v>2</v>
      </c>
      <c r="I2" s="2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>
      <c r="A3" s="1"/>
      <c r="B3" s="27"/>
      <c r="C3" s="27"/>
      <c r="D3" s="27"/>
      <c r="E3" s="27"/>
      <c r="F3" s="29">
        <f>COUNTA(B8:B100)</f>
        <v>29</v>
      </c>
      <c r="G3" s="27"/>
      <c r="H3" s="29">
        <f>COUNTIF(H8:H100, "En Negociación")</f>
        <v>0</v>
      </c>
      <c r="I3" s="2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>
      <c r="A4" s="1"/>
      <c r="B4" s="27"/>
      <c r="C4" s="27"/>
      <c r="D4" s="27"/>
      <c r="E4" s="27"/>
      <c r="F4" s="27"/>
      <c r="G4" s="27"/>
      <c r="H4" s="27"/>
      <c r="I4" s="2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>
      <c r="A7" s="2"/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4" t="s">
        <v>9</v>
      </c>
      <c r="I7" s="4" t="s">
        <v>10</v>
      </c>
      <c r="J7" s="4" t="s">
        <v>11</v>
      </c>
      <c r="K7" s="4" t="s">
        <v>12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>
      <c r="A8" s="2"/>
      <c r="B8" s="14" t="s">
        <v>234</v>
      </c>
      <c r="C8" s="14" t="s">
        <v>235</v>
      </c>
      <c r="D8" s="14" t="s">
        <v>236</v>
      </c>
      <c r="E8" s="7"/>
      <c r="F8" s="14" t="s">
        <v>237</v>
      </c>
      <c r="G8" s="14" t="s">
        <v>238</v>
      </c>
      <c r="H8" s="9"/>
      <c r="I8" s="9"/>
      <c r="J8" s="9"/>
      <c r="K8" s="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>
      <c r="A9" s="2"/>
      <c r="B9" s="14" t="s">
        <v>239</v>
      </c>
      <c r="C9" s="14" t="s">
        <v>240</v>
      </c>
      <c r="D9" s="14" t="s">
        <v>236</v>
      </c>
      <c r="E9" s="7"/>
      <c r="F9" s="14" t="s">
        <v>241</v>
      </c>
      <c r="G9" s="14" t="s">
        <v>242</v>
      </c>
      <c r="H9" s="9"/>
      <c r="I9" s="9"/>
      <c r="J9" s="9"/>
      <c r="K9" s="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>
      <c r="A10" s="2"/>
      <c r="B10" s="14" t="s">
        <v>243</v>
      </c>
      <c r="C10" s="15"/>
      <c r="D10" s="15"/>
      <c r="E10" s="7"/>
      <c r="F10" s="14" t="s">
        <v>244</v>
      </c>
      <c r="G10" s="14" t="s">
        <v>245</v>
      </c>
      <c r="H10" s="9"/>
      <c r="I10" s="9"/>
      <c r="J10" s="9"/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>
      <c r="A11" s="2"/>
      <c r="B11" s="14" t="s">
        <v>246</v>
      </c>
      <c r="C11" s="14" t="s">
        <v>247</v>
      </c>
      <c r="D11" s="14" t="s">
        <v>236</v>
      </c>
      <c r="E11" s="12"/>
      <c r="F11" s="14" t="s">
        <v>248</v>
      </c>
      <c r="G11" s="14" t="s">
        <v>249</v>
      </c>
      <c r="H11" s="9"/>
      <c r="I11" s="9"/>
      <c r="J11" s="9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>
      <c r="A12" s="2"/>
      <c r="B12" s="14" t="s">
        <v>250</v>
      </c>
      <c r="C12" s="14" t="s">
        <v>251</v>
      </c>
      <c r="D12" s="14" t="s">
        <v>236</v>
      </c>
      <c r="E12" s="12"/>
      <c r="F12" s="14" t="s">
        <v>252</v>
      </c>
      <c r="G12" s="14" t="s">
        <v>253</v>
      </c>
      <c r="H12" s="9"/>
      <c r="I12" s="9"/>
      <c r="J12" s="9"/>
      <c r="K12" s="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>
      <c r="A13" s="2"/>
      <c r="B13" s="14" t="s">
        <v>254</v>
      </c>
      <c r="C13" s="14" t="s">
        <v>255</v>
      </c>
      <c r="D13" s="14" t="s">
        <v>236</v>
      </c>
      <c r="E13" s="12"/>
      <c r="F13" s="14" t="s">
        <v>256</v>
      </c>
      <c r="G13" s="14" t="s">
        <v>257</v>
      </c>
      <c r="H13" s="9"/>
      <c r="I13" s="9"/>
      <c r="J13" s="9"/>
      <c r="K13" s="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>
      <c r="A14" s="2"/>
      <c r="B14" s="14" t="s">
        <v>258</v>
      </c>
      <c r="C14" s="14" t="s">
        <v>259</v>
      </c>
      <c r="D14" s="14" t="s">
        <v>236</v>
      </c>
      <c r="E14" s="7"/>
      <c r="F14" s="14" t="s">
        <v>260</v>
      </c>
      <c r="G14" s="14" t="s">
        <v>261</v>
      </c>
      <c r="H14" s="9"/>
      <c r="I14" s="9"/>
      <c r="J14" s="9"/>
      <c r="K14" s="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>
      <c r="A15" s="2"/>
      <c r="B15" s="14" t="s">
        <v>262</v>
      </c>
      <c r="C15" s="14" t="s">
        <v>263</v>
      </c>
      <c r="D15" s="14" t="s">
        <v>236</v>
      </c>
      <c r="E15" s="7"/>
      <c r="F15" s="14" t="s">
        <v>264</v>
      </c>
      <c r="G15" s="14" t="s">
        <v>265</v>
      </c>
      <c r="H15" s="9"/>
      <c r="I15" s="9"/>
      <c r="J15" s="9"/>
      <c r="K15" s="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>
      <c r="A16" s="2"/>
      <c r="B16" s="14" t="s">
        <v>266</v>
      </c>
      <c r="C16" s="14" t="s">
        <v>267</v>
      </c>
      <c r="D16" s="14" t="s">
        <v>236</v>
      </c>
      <c r="E16" s="7"/>
      <c r="F16" s="14" t="s">
        <v>268</v>
      </c>
      <c r="G16" s="14" t="s">
        <v>269</v>
      </c>
      <c r="H16" s="9"/>
      <c r="I16" s="9"/>
      <c r="J16" s="9"/>
      <c r="K16" s="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>
      <c r="A17" s="2"/>
      <c r="B17" s="14" t="s">
        <v>270</v>
      </c>
      <c r="C17" s="11"/>
      <c r="D17" s="12"/>
      <c r="E17" s="12"/>
      <c r="F17" s="15"/>
      <c r="G17" s="14" t="s">
        <v>271</v>
      </c>
      <c r="H17" s="9"/>
      <c r="I17" s="9"/>
      <c r="J17" s="9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>
      <c r="A18" s="2"/>
      <c r="B18" s="14" t="s">
        <v>272</v>
      </c>
      <c r="C18" s="10"/>
      <c r="D18" s="12"/>
      <c r="E18" s="12"/>
      <c r="F18" s="14" t="s">
        <v>273</v>
      </c>
      <c r="G18" s="14" t="s">
        <v>274</v>
      </c>
      <c r="H18" s="9"/>
      <c r="I18" s="9"/>
      <c r="J18" s="9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14" t="s">
        <v>275</v>
      </c>
      <c r="C19" s="10"/>
      <c r="D19" s="12"/>
      <c r="E19" s="12"/>
      <c r="F19" s="10"/>
      <c r="G19" s="8"/>
      <c r="H19" s="9"/>
      <c r="I19" s="9"/>
      <c r="J19" s="9"/>
      <c r="K19" s="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14" t="s">
        <v>276</v>
      </c>
      <c r="C20" s="6"/>
      <c r="D20" s="7"/>
      <c r="E20" s="7"/>
      <c r="F20" s="5"/>
      <c r="G20" s="13"/>
      <c r="H20" s="9"/>
      <c r="I20" s="9"/>
      <c r="J20" s="9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14" t="s">
        <v>277</v>
      </c>
      <c r="C21" s="5"/>
      <c r="D21" s="7"/>
      <c r="E21" s="7"/>
      <c r="F21" s="5"/>
      <c r="G21" s="8"/>
      <c r="H21" s="9"/>
      <c r="I21" s="9"/>
      <c r="J21" s="9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14" t="s">
        <v>278</v>
      </c>
      <c r="C22" s="11"/>
      <c r="D22" s="12"/>
      <c r="E22" s="12"/>
      <c r="F22" s="10"/>
      <c r="G22" s="13"/>
      <c r="H22" s="9"/>
      <c r="I22" s="9"/>
      <c r="J22" s="9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14" t="s">
        <v>279</v>
      </c>
      <c r="C23" s="10"/>
      <c r="D23" s="12"/>
      <c r="E23" s="12"/>
      <c r="F23" s="10"/>
      <c r="G23" s="8"/>
      <c r="H23" s="9"/>
      <c r="I23" s="9"/>
      <c r="J23" s="9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>
      <c r="A24" s="2"/>
      <c r="B24" s="14" t="s">
        <v>280</v>
      </c>
      <c r="C24" s="6"/>
      <c r="D24" s="7"/>
      <c r="E24" s="7"/>
      <c r="F24" s="5"/>
      <c r="G24" s="16" t="s">
        <v>281</v>
      </c>
      <c r="H24" s="9"/>
      <c r="I24" s="9"/>
      <c r="J24" s="9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>
      <c r="A25" s="2"/>
      <c r="B25" s="14" t="s">
        <v>282</v>
      </c>
      <c r="C25" s="5"/>
      <c r="D25" s="7"/>
      <c r="E25" s="7"/>
      <c r="F25" s="5"/>
      <c r="G25" s="16" t="s">
        <v>283</v>
      </c>
      <c r="H25" s="9"/>
      <c r="I25" s="9"/>
      <c r="J25" s="9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14" t="s">
        <v>284</v>
      </c>
      <c r="C26" s="11"/>
      <c r="D26" s="12"/>
      <c r="E26" s="12"/>
      <c r="F26" s="10"/>
      <c r="G26" s="13"/>
      <c r="H26" s="9"/>
      <c r="I26" s="9"/>
      <c r="J26" s="9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14" t="s">
        <v>285</v>
      </c>
      <c r="C27" s="10"/>
      <c r="D27" s="12"/>
      <c r="E27" s="12"/>
      <c r="F27" s="10"/>
      <c r="G27" s="8"/>
      <c r="H27" s="9"/>
      <c r="I27" s="9"/>
      <c r="J27" s="9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14" t="s">
        <v>286</v>
      </c>
      <c r="C28" s="10"/>
      <c r="D28" s="12"/>
      <c r="E28" s="12"/>
      <c r="F28" s="10"/>
      <c r="G28" s="8"/>
      <c r="H28" s="9"/>
      <c r="I28" s="9"/>
      <c r="J28" s="9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14" t="s">
        <v>287</v>
      </c>
      <c r="C29" s="6"/>
      <c r="D29" s="7"/>
      <c r="E29" s="7"/>
      <c r="F29" s="5"/>
      <c r="G29" s="13"/>
      <c r="H29" s="9"/>
      <c r="I29" s="9"/>
      <c r="J29" s="9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14" t="s">
        <v>288</v>
      </c>
      <c r="C30" s="5"/>
      <c r="D30" s="7"/>
      <c r="E30" s="7"/>
      <c r="F30" s="5"/>
      <c r="G30" s="8"/>
      <c r="H30" s="9"/>
      <c r="I30" s="9"/>
      <c r="J30" s="9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14" t="s">
        <v>289</v>
      </c>
      <c r="C31" s="5"/>
      <c r="D31" s="7"/>
      <c r="E31" s="7"/>
      <c r="F31" s="5"/>
      <c r="G31" s="8"/>
      <c r="H31" s="9"/>
      <c r="I31" s="9"/>
      <c r="J31" s="9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>
      <c r="A32" s="2"/>
      <c r="B32" s="14" t="s">
        <v>290</v>
      </c>
      <c r="C32" s="5"/>
      <c r="D32" s="7"/>
      <c r="E32" s="7"/>
      <c r="F32" s="5"/>
      <c r="G32" s="8"/>
      <c r="H32" s="9"/>
      <c r="I32" s="9"/>
      <c r="J32" s="9"/>
      <c r="K32" s="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>
      <c r="A33" s="2"/>
      <c r="B33" s="14" t="s">
        <v>291</v>
      </c>
      <c r="C33" s="5"/>
      <c r="D33" s="7"/>
      <c r="E33" s="7"/>
      <c r="F33" s="5"/>
      <c r="G33" s="8"/>
      <c r="H33" s="9"/>
      <c r="I33" s="9"/>
      <c r="J33" s="9"/>
      <c r="K33" s="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>
      <c r="A34" s="2"/>
      <c r="B34" s="14" t="s">
        <v>292</v>
      </c>
      <c r="C34" s="11"/>
      <c r="D34" s="12"/>
      <c r="E34" s="12"/>
      <c r="F34" s="10"/>
      <c r="G34" s="13"/>
      <c r="H34" s="9"/>
      <c r="I34" s="9"/>
      <c r="J34" s="9"/>
      <c r="K34" s="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>
      <c r="A35" s="2"/>
      <c r="B35" s="14" t="s">
        <v>293</v>
      </c>
      <c r="C35" s="10"/>
      <c r="D35" s="12"/>
      <c r="E35" s="12"/>
      <c r="F35" s="10"/>
      <c r="G35" s="8"/>
      <c r="H35" s="9"/>
      <c r="I35" s="9"/>
      <c r="J35" s="9"/>
      <c r="K35" s="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>
      <c r="A36" s="2"/>
      <c r="B36" s="14" t="s">
        <v>294</v>
      </c>
      <c r="C36" s="6"/>
      <c r="D36" s="7"/>
      <c r="E36" s="7"/>
      <c r="F36" s="5"/>
      <c r="G36" s="13"/>
      <c r="H36" s="9"/>
      <c r="I36" s="9"/>
      <c r="J36" s="9"/>
      <c r="K36" s="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>
      <c r="A37" s="2"/>
      <c r="B37" s="5"/>
      <c r="C37" s="5"/>
      <c r="D37" s="7"/>
      <c r="E37" s="7"/>
      <c r="F37" s="5"/>
      <c r="G37" s="8"/>
      <c r="H37" s="9"/>
      <c r="I37" s="9"/>
      <c r="J37" s="9"/>
      <c r="K37" s="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2"/>
      <c r="B38" s="10"/>
      <c r="C38" s="11"/>
      <c r="D38" s="12"/>
      <c r="E38" s="12"/>
      <c r="F38" s="10"/>
      <c r="G38" s="13"/>
      <c r="H38" s="9"/>
      <c r="I38" s="9"/>
      <c r="J38" s="9"/>
      <c r="K38" s="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2"/>
      <c r="B39" s="10"/>
      <c r="C39" s="10"/>
      <c r="D39" s="12"/>
      <c r="E39" s="12"/>
      <c r="F39" s="10"/>
      <c r="G39" s="8"/>
      <c r="H39" s="9"/>
      <c r="I39" s="9"/>
      <c r="J39" s="9"/>
      <c r="K39" s="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2"/>
      <c r="B40" s="5"/>
      <c r="C40" s="6"/>
      <c r="D40" s="7"/>
      <c r="E40" s="7"/>
      <c r="F40" s="5"/>
      <c r="G40" s="13"/>
      <c r="H40" s="9"/>
      <c r="I40" s="9"/>
      <c r="J40" s="9"/>
      <c r="K40" s="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>
      <c r="A41" s="2"/>
      <c r="B41" s="5"/>
      <c r="C41" s="5"/>
      <c r="D41" s="7"/>
      <c r="E41" s="7"/>
      <c r="F41" s="5"/>
      <c r="G41" s="8"/>
      <c r="H41" s="9"/>
      <c r="I41" s="9"/>
      <c r="J41" s="9"/>
      <c r="K41" s="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>
      <c r="A42" s="2"/>
      <c r="B42" s="10"/>
      <c r="C42" s="11"/>
      <c r="D42" s="12"/>
      <c r="E42" s="12"/>
      <c r="F42" s="10"/>
      <c r="G42" s="13"/>
      <c r="H42" s="9"/>
      <c r="I42" s="9"/>
      <c r="J42" s="9"/>
      <c r="K42" s="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>
      <c r="A43" s="2"/>
      <c r="B43" s="10"/>
      <c r="C43" s="10"/>
      <c r="D43" s="12"/>
      <c r="E43" s="12"/>
      <c r="F43" s="10"/>
      <c r="G43" s="8"/>
      <c r="H43" s="9"/>
      <c r="I43" s="9"/>
      <c r="J43" s="9"/>
      <c r="K43" s="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2"/>
      <c r="B44" s="5"/>
      <c r="C44" s="6"/>
      <c r="D44" s="7"/>
      <c r="E44" s="7"/>
      <c r="F44" s="5"/>
      <c r="G44" s="13"/>
      <c r="H44" s="9"/>
      <c r="I44" s="9"/>
      <c r="J44" s="9"/>
      <c r="K44" s="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2"/>
      <c r="B45" s="5"/>
      <c r="C45" s="5"/>
      <c r="D45" s="7"/>
      <c r="E45" s="7"/>
      <c r="F45" s="5"/>
      <c r="G45" s="8"/>
      <c r="H45" s="9"/>
      <c r="I45" s="9"/>
      <c r="J45" s="9"/>
      <c r="K45" s="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2"/>
      <c r="B46" s="5"/>
      <c r="C46" s="5"/>
      <c r="D46" s="7"/>
      <c r="E46" s="7"/>
      <c r="F46" s="5"/>
      <c r="G46" s="8"/>
      <c r="H46" s="9"/>
      <c r="I46" s="9"/>
      <c r="J46" s="9"/>
      <c r="K46" s="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>
      <c r="A47" s="2"/>
      <c r="B47" s="10"/>
      <c r="C47" s="11"/>
      <c r="D47" s="12"/>
      <c r="E47" s="12"/>
      <c r="F47" s="10"/>
      <c r="G47" s="13"/>
      <c r="H47" s="9"/>
      <c r="I47" s="9"/>
      <c r="J47" s="9"/>
      <c r="K47" s="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2"/>
      <c r="B48" s="10"/>
      <c r="C48" s="10"/>
      <c r="D48" s="12"/>
      <c r="E48" s="12"/>
      <c r="F48" s="10"/>
      <c r="G48" s="8"/>
      <c r="H48" s="9"/>
      <c r="I48" s="9"/>
      <c r="J48" s="9"/>
      <c r="K48" s="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2"/>
      <c r="B49" s="10"/>
      <c r="C49" s="10"/>
      <c r="D49" s="12"/>
      <c r="E49" s="12"/>
      <c r="F49" s="10"/>
      <c r="G49" s="8"/>
      <c r="H49" s="9"/>
      <c r="I49" s="9"/>
      <c r="J49" s="9"/>
      <c r="K49" s="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2"/>
      <c r="B50" s="5"/>
      <c r="C50" s="6"/>
      <c r="D50" s="7"/>
      <c r="E50" s="7"/>
      <c r="F50" s="5"/>
      <c r="G50" s="13"/>
      <c r="H50" s="9"/>
      <c r="I50" s="9"/>
      <c r="J50" s="9"/>
      <c r="K50" s="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>
      <c r="A51" s="2"/>
      <c r="B51" s="5"/>
      <c r="C51" s="5"/>
      <c r="D51" s="7"/>
      <c r="E51" s="7"/>
      <c r="F51" s="5"/>
      <c r="G51" s="8"/>
      <c r="H51" s="9"/>
      <c r="I51" s="9"/>
      <c r="J51" s="9"/>
      <c r="K51" s="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>
      <c r="A52" s="2"/>
      <c r="B52" s="5"/>
      <c r="C52" s="5"/>
      <c r="D52" s="7"/>
      <c r="E52" s="7"/>
      <c r="F52" s="5"/>
      <c r="G52" s="8"/>
      <c r="H52" s="9"/>
      <c r="I52" s="9"/>
      <c r="J52" s="9"/>
      <c r="K52" s="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2"/>
      <c r="B53" s="10"/>
      <c r="C53" s="11"/>
      <c r="D53" s="12"/>
      <c r="E53" s="12"/>
      <c r="F53" s="10"/>
      <c r="G53" s="13"/>
      <c r="H53" s="9"/>
      <c r="I53" s="9"/>
      <c r="J53" s="9"/>
      <c r="K53" s="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2"/>
      <c r="B54" s="10"/>
      <c r="C54" s="10"/>
      <c r="D54" s="12"/>
      <c r="E54" s="12"/>
      <c r="F54" s="10"/>
      <c r="G54" s="8"/>
      <c r="H54" s="9"/>
      <c r="I54" s="9"/>
      <c r="J54" s="9"/>
      <c r="K54" s="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2"/>
      <c r="B55" s="5"/>
      <c r="C55" s="6"/>
      <c r="D55" s="7"/>
      <c r="E55" s="7"/>
      <c r="F55" s="5"/>
      <c r="G55" s="13"/>
      <c r="H55" s="9"/>
      <c r="I55" s="9"/>
      <c r="J55" s="9"/>
      <c r="K55" s="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2"/>
      <c r="B56" s="5"/>
      <c r="C56" s="5"/>
      <c r="D56" s="7"/>
      <c r="E56" s="7"/>
      <c r="F56" s="5"/>
      <c r="G56" s="8"/>
      <c r="H56" s="9"/>
      <c r="I56" s="9"/>
      <c r="J56" s="9"/>
      <c r="K56" s="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2"/>
      <c r="B57" s="5"/>
      <c r="C57" s="5"/>
      <c r="D57" s="7"/>
      <c r="E57" s="7"/>
      <c r="F57" s="5"/>
      <c r="G57" s="8"/>
      <c r="H57" s="9"/>
      <c r="I57" s="9"/>
      <c r="J57" s="9"/>
      <c r="K57" s="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2"/>
      <c r="B58" s="10"/>
      <c r="C58" s="11"/>
      <c r="D58" s="12"/>
      <c r="E58" s="12"/>
      <c r="F58" s="10"/>
      <c r="G58" s="13"/>
      <c r="H58" s="9"/>
      <c r="I58" s="9"/>
      <c r="J58" s="9"/>
      <c r="K58" s="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>
      <c r="A59" s="2"/>
      <c r="B59" s="10"/>
      <c r="C59" s="10"/>
      <c r="D59" s="12"/>
      <c r="E59" s="12"/>
      <c r="F59" s="10"/>
      <c r="G59" s="8"/>
      <c r="H59" s="9"/>
      <c r="I59" s="9"/>
      <c r="J59" s="9"/>
      <c r="K59" s="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2"/>
      <c r="B60" s="10"/>
      <c r="C60" s="10"/>
      <c r="D60" s="12"/>
      <c r="E60" s="12"/>
      <c r="F60" s="10"/>
      <c r="G60" s="8"/>
      <c r="H60" s="9"/>
      <c r="I60" s="9"/>
      <c r="J60" s="9"/>
      <c r="K60" s="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2"/>
      <c r="B61" s="10"/>
      <c r="C61" s="10"/>
      <c r="D61" s="12"/>
      <c r="E61" s="12"/>
      <c r="F61" s="10"/>
      <c r="G61" s="8"/>
      <c r="H61" s="9"/>
      <c r="I61" s="9"/>
      <c r="J61" s="9"/>
      <c r="K61" s="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2"/>
      <c r="B62" s="5"/>
      <c r="C62" s="6"/>
      <c r="D62" s="7"/>
      <c r="E62" s="7"/>
      <c r="F62" s="5"/>
      <c r="G62" s="13"/>
      <c r="H62" s="9"/>
      <c r="I62" s="9"/>
      <c r="J62" s="9"/>
      <c r="K62" s="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2"/>
      <c r="B63" s="5"/>
      <c r="C63" s="5"/>
      <c r="D63" s="7"/>
      <c r="E63" s="7"/>
      <c r="F63" s="5"/>
      <c r="G63" s="8"/>
      <c r="H63" s="9"/>
      <c r="I63" s="9"/>
      <c r="J63" s="9"/>
      <c r="K63" s="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2"/>
      <c r="B64" s="10"/>
      <c r="C64" s="11"/>
      <c r="D64" s="12"/>
      <c r="E64" s="12"/>
      <c r="F64" s="10"/>
      <c r="G64" s="13"/>
      <c r="H64" s="9"/>
      <c r="I64" s="9"/>
      <c r="J64" s="9"/>
      <c r="K64" s="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2"/>
      <c r="B65" s="10"/>
      <c r="C65" s="10"/>
      <c r="D65" s="12"/>
      <c r="E65" s="12"/>
      <c r="F65" s="10"/>
      <c r="G65" s="8"/>
      <c r="H65" s="9"/>
      <c r="I65" s="9"/>
      <c r="J65" s="9"/>
      <c r="K65" s="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>
      <c r="A66" s="2"/>
      <c r="B66" s="10"/>
      <c r="C66" s="10"/>
      <c r="D66" s="12"/>
      <c r="E66" s="12"/>
      <c r="F66" s="10"/>
      <c r="G66" s="8"/>
      <c r="H66" s="9"/>
      <c r="I66" s="9"/>
      <c r="J66" s="9"/>
      <c r="K66" s="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>
      <c r="A67" s="2"/>
      <c r="B67" s="10"/>
      <c r="C67" s="10"/>
      <c r="D67" s="12"/>
      <c r="E67" s="12"/>
      <c r="F67" s="10"/>
      <c r="G67" s="8"/>
      <c r="H67" s="9"/>
      <c r="I67" s="9"/>
      <c r="J67" s="9"/>
      <c r="K67" s="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>
      <c r="A68" s="2"/>
      <c r="B68" s="5"/>
      <c r="C68" s="6"/>
      <c r="D68" s="7"/>
      <c r="E68" s="7"/>
      <c r="F68" s="5"/>
      <c r="G68" s="13"/>
      <c r="H68" s="9"/>
      <c r="I68" s="9"/>
      <c r="J68" s="9"/>
      <c r="K68" s="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2"/>
      <c r="B69" s="5"/>
      <c r="C69" s="5"/>
      <c r="D69" s="7"/>
      <c r="E69" s="7"/>
      <c r="F69" s="5"/>
      <c r="G69" s="8"/>
      <c r="H69" s="9"/>
      <c r="I69" s="9"/>
      <c r="J69" s="9"/>
      <c r="K69" s="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>
      <c r="A70" s="2"/>
      <c r="B70" s="10"/>
      <c r="C70" s="11"/>
      <c r="D70" s="12"/>
      <c r="E70" s="12"/>
      <c r="F70" s="10"/>
      <c r="G70" s="13"/>
      <c r="H70" s="9"/>
      <c r="I70" s="9"/>
      <c r="J70" s="9"/>
      <c r="K70" s="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>
      <c r="A71" s="2"/>
      <c r="B71" s="10"/>
      <c r="C71" s="10"/>
      <c r="D71" s="12"/>
      <c r="E71" s="12"/>
      <c r="F71" s="10"/>
      <c r="G71" s="8"/>
      <c r="H71" s="9"/>
      <c r="I71" s="9"/>
      <c r="J71" s="9"/>
      <c r="K71" s="9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>
      <c r="A72" s="2"/>
      <c r="B72" s="5"/>
      <c r="C72" s="6"/>
      <c r="D72" s="7"/>
      <c r="E72" s="7"/>
      <c r="F72" s="5"/>
      <c r="G72" s="13"/>
      <c r="H72" s="9"/>
      <c r="I72" s="9"/>
      <c r="J72" s="9"/>
      <c r="K72" s="9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>
      <c r="A73" s="2"/>
      <c r="B73" s="5"/>
      <c r="C73" s="5"/>
      <c r="D73" s="7"/>
      <c r="E73" s="7"/>
      <c r="F73" s="5"/>
      <c r="G73" s="8"/>
      <c r="H73" s="9"/>
      <c r="I73" s="9"/>
      <c r="J73" s="9"/>
      <c r="K73" s="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>
      <c r="A74" s="2"/>
      <c r="B74" s="10"/>
      <c r="C74" s="11"/>
      <c r="D74" s="12"/>
      <c r="E74" s="12"/>
      <c r="F74" s="10"/>
      <c r="G74" s="13"/>
      <c r="H74" s="9"/>
      <c r="I74" s="9"/>
      <c r="J74" s="9"/>
      <c r="K74" s="9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>
      <c r="A75" s="2"/>
      <c r="B75" s="10"/>
      <c r="C75" s="10"/>
      <c r="D75" s="12"/>
      <c r="E75" s="12"/>
      <c r="F75" s="10"/>
      <c r="G75" s="8"/>
      <c r="H75" s="9"/>
      <c r="I75" s="9"/>
      <c r="J75" s="9"/>
      <c r="K75" s="9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>
      <c r="A76" s="2"/>
      <c r="B76" s="10"/>
      <c r="C76" s="10"/>
      <c r="D76" s="12"/>
      <c r="E76" s="12"/>
      <c r="F76" s="10"/>
      <c r="G76" s="8"/>
      <c r="H76" s="9"/>
      <c r="I76" s="9"/>
      <c r="J76" s="9"/>
      <c r="K76" s="9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>
      <c r="A77" s="2"/>
      <c r="B77" s="5"/>
      <c r="C77" s="6"/>
      <c r="D77" s="7"/>
      <c r="E77" s="7"/>
      <c r="F77" s="5"/>
      <c r="G77" s="13"/>
      <c r="H77" s="9"/>
      <c r="I77" s="9"/>
      <c r="J77" s="9"/>
      <c r="K77" s="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>
      <c r="A78" s="2"/>
      <c r="B78" s="5"/>
      <c r="C78" s="5"/>
      <c r="D78" s="7"/>
      <c r="E78" s="7"/>
      <c r="F78" s="5"/>
      <c r="G78" s="8"/>
      <c r="H78" s="9"/>
      <c r="I78" s="9"/>
      <c r="J78" s="9"/>
      <c r="K78" s="9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>
      <c r="A79" s="2"/>
      <c r="B79" s="5"/>
      <c r="C79" s="5"/>
      <c r="D79" s="7"/>
      <c r="E79" s="7"/>
      <c r="F79" s="5"/>
      <c r="G79" s="8"/>
      <c r="H79" s="9"/>
      <c r="I79" s="9"/>
      <c r="J79" s="9"/>
      <c r="K79" s="9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>
      <c r="A80" s="2"/>
      <c r="B80" s="10"/>
      <c r="C80" s="11"/>
      <c r="D80" s="12"/>
      <c r="E80" s="12"/>
      <c r="F80" s="10"/>
      <c r="G80" s="13"/>
      <c r="H80" s="9"/>
      <c r="I80" s="9"/>
      <c r="J80" s="9"/>
      <c r="K80" s="9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>
      <c r="A81" s="2"/>
      <c r="B81" s="10"/>
      <c r="C81" s="10"/>
      <c r="D81" s="12"/>
      <c r="E81" s="12"/>
      <c r="F81" s="10"/>
      <c r="G81" s="8"/>
      <c r="H81" s="9"/>
      <c r="I81" s="9"/>
      <c r="J81" s="9"/>
      <c r="K81" s="9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>
      <c r="A82" s="2"/>
      <c r="B82" s="10"/>
      <c r="C82" s="10"/>
      <c r="D82" s="12"/>
      <c r="E82" s="12"/>
      <c r="F82" s="10"/>
      <c r="G82" s="8"/>
      <c r="H82" s="9"/>
      <c r="I82" s="9"/>
      <c r="J82" s="9"/>
      <c r="K82" s="9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>
      <c r="A83" s="2"/>
      <c r="B83" s="5"/>
      <c r="C83" s="6"/>
      <c r="D83" s="7"/>
      <c r="E83" s="7"/>
      <c r="F83" s="5"/>
      <c r="G83" s="13"/>
      <c r="H83" s="9"/>
      <c r="I83" s="9"/>
      <c r="J83" s="9"/>
      <c r="K83" s="9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>
      <c r="A84" s="2"/>
      <c r="B84" s="5"/>
      <c r="C84" s="5"/>
      <c r="D84" s="7"/>
      <c r="E84" s="7"/>
      <c r="F84" s="5"/>
      <c r="G84" s="8"/>
      <c r="H84" s="9"/>
      <c r="I84" s="9"/>
      <c r="J84" s="9"/>
      <c r="K84" s="9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2"/>
      <c r="B85" s="9"/>
      <c r="C85" s="9"/>
      <c r="D85" s="9"/>
      <c r="E85" s="9"/>
      <c r="F85" s="9"/>
      <c r="G85" s="9"/>
      <c r="H85" s="9"/>
      <c r="I85" s="9"/>
      <c r="J85" s="9"/>
      <c r="K85" s="9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2"/>
      <c r="B86" s="9"/>
      <c r="C86" s="9"/>
      <c r="D86" s="9"/>
      <c r="E86" s="9"/>
      <c r="F86" s="9"/>
      <c r="G86" s="9"/>
      <c r="H86" s="9"/>
      <c r="I86" s="9"/>
      <c r="J86" s="9"/>
      <c r="K86" s="9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2"/>
      <c r="B87" s="9"/>
      <c r="C87" s="9"/>
      <c r="D87" s="9"/>
      <c r="E87" s="9"/>
      <c r="F87" s="9"/>
      <c r="G87" s="9"/>
      <c r="H87" s="9"/>
      <c r="I87" s="9"/>
      <c r="J87" s="9"/>
      <c r="K87" s="9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2"/>
      <c r="B88" s="9"/>
      <c r="C88" s="9"/>
      <c r="D88" s="9"/>
      <c r="E88" s="9"/>
      <c r="F88" s="9"/>
      <c r="G88" s="9"/>
      <c r="H88" s="9"/>
      <c r="I88" s="9"/>
      <c r="J88" s="9"/>
      <c r="K88" s="9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2"/>
      <c r="B89" s="9"/>
      <c r="C89" s="9"/>
      <c r="D89" s="9"/>
      <c r="E89" s="9"/>
      <c r="F89" s="9"/>
      <c r="G89" s="9"/>
      <c r="H89" s="9"/>
      <c r="I89" s="9"/>
      <c r="J89" s="9"/>
      <c r="K89" s="9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2"/>
      <c r="B90" s="9"/>
      <c r="C90" s="9"/>
      <c r="D90" s="9"/>
      <c r="E90" s="9"/>
      <c r="F90" s="9"/>
      <c r="G90" s="9"/>
      <c r="H90" s="9"/>
      <c r="I90" s="9"/>
      <c r="J90" s="9"/>
      <c r="K90" s="9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2"/>
      <c r="B91" s="9"/>
      <c r="C91" s="9"/>
      <c r="D91" s="9"/>
      <c r="E91" s="9"/>
      <c r="F91" s="9"/>
      <c r="G91" s="9"/>
      <c r="H91" s="9"/>
      <c r="I91" s="9"/>
      <c r="J91" s="9"/>
      <c r="K91" s="9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2"/>
      <c r="B92" s="9"/>
      <c r="C92" s="9"/>
      <c r="D92" s="9"/>
      <c r="E92" s="9"/>
      <c r="F92" s="9"/>
      <c r="G92" s="9"/>
      <c r="H92" s="9"/>
      <c r="I92" s="9"/>
      <c r="J92" s="9"/>
      <c r="K92" s="9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2"/>
      <c r="B93" s="9"/>
      <c r="C93" s="9"/>
      <c r="D93" s="9"/>
      <c r="E93" s="9"/>
      <c r="F93" s="9"/>
      <c r="G93" s="9"/>
      <c r="H93" s="9"/>
      <c r="I93" s="9"/>
      <c r="J93" s="9"/>
      <c r="K93" s="9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2"/>
      <c r="B94" s="9"/>
      <c r="C94" s="9"/>
      <c r="D94" s="9"/>
      <c r="E94" s="9"/>
      <c r="F94" s="9"/>
      <c r="G94" s="9"/>
      <c r="H94" s="9"/>
      <c r="I94" s="9"/>
      <c r="J94" s="9"/>
      <c r="K94" s="9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/>
      <c r="B95" s="9"/>
      <c r="C95" s="9"/>
      <c r="D95" s="9"/>
      <c r="E95" s="9"/>
      <c r="F95" s="9"/>
      <c r="G95" s="9"/>
      <c r="H95" s="9"/>
      <c r="I95" s="9"/>
      <c r="J95" s="9"/>
      <c r="K95" s="9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2"/>
      <c r="B96" s="9"/>
      <c r="C96" s="9"/>
      <c r="D96" s="9"/>
      <c r="E96" s="9"/>
      <c r="F96" s="9"/>
      <c r="G96" s="9"/>
      <c r="H96" s="9"/>
      <c r="I96" s="9"/>
      <c r="J96" s="9"/>
      <c r="K96" s="9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/>
      <c r="B97" s="9"/>
      <c r="C97" s="9"/>
      <c r="D97" s="9"/>
      <c r="E97" s="9"/>
      <c r="F97" s="9"/>
      <c r="G97" s="9"/>
      <c r="H97" s="9"/>
      <c r="I97" s="9"/>
      <c r="J97" s="9"/>
      <c r="K97" s="9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/>
      <c r="B98" s="9"/>
      <c r="C98" s="9"/>
      <c r="D98" s="9"/>
      <c r="E98" s="9"/>
      <c r="F98" s="9"/>
      <c r="G98" s="9"/>
      <c r="H98" s="9"/>
      <c r="I98" s="9"/>
      <c r="J98" s="9"/>
      <c r="K98" s="9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2"/>
      <c r="B99" s="9"/>
      <c r="C99" s="9"/>
      <c r="D99" s="9"/>
      <c r="E99" s="9"/>
      <c r="F99" s="9"/>
      <c r="G99" s="9"/>
      <c r="H99" s="9"/>
      <c r="I99" s="9"/>
      <c r="J99" s="9"/>
      <c r="K99" s="9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2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B2:E4"/>
    <mergeCell ref="F2:G2"/>
    <mergeCell ref="H2:I2"/>
    <mergeCell ref="F3:G4"/>
    <mergeCell ref="H3:I4"/>
  </mergeCells>
  <dataValidations count="1">
    <dataValidation type="list" allowBlank="1" sqref="H8:H100">
      <formula1>"Nuevo,Contactado,En Negociación,Cerrado"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showGridLines="0" tabSelected="1" workbookViewId="0">
      <pane ySplit="7" topLeftCell="A8" activePane="bottomLeft" state="frozen"/>
      <selection pane="bottomLeft" activeCell="F17" sqref="F17"/>
    </sheetView>
  </sheetViews>
  <sheetFormatPr baseColWidth="10" defaultColWidth="12.5703125" defaultRowHeight="15.75" customHeight="1"/>
  <cols>
    <col min="1" max="1" width="2.7109375" customWidth="1"/>
    <col min="2" max="2" width="36.28515625" customWidth="1"/>
    <col min="3" max="3" width="29.42578125" customWidth="1"/>
    <col min="4" max="4" width="31.7109375" customWidth="1"/>
    <col min="5" max="5" width="20.42578125" customWidth="1"/>
    <col min="6" max="6" width="29.85546875" customWidth="1"/>
    <col min="7" max="7" width="28.28515625" customWidth="1"/>
    <col min="8" max="8" width="22.5703125" customWidth="1"/>
    <col min="9" max="9" width="15.140625" customWidth="1"/>
    <col min="10" max="10" width="18.85546875" customWidth="1"/>
    <col min="11" max="11" width="25.140625" customWidth="1"/>
  </cols>
  <sheetData>
    <row r="1" spans="1:26" ht="12.75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>
      <c r="A2" s="1"/>
      <c r="B2" s="26" t="s">
        <v>0</v>
      </c>
      <c r="C2" s="27"/>
      <c r="D2" s="27"/>
      <c r="E2" s="27"/>
      <c r="F2" s="28" t="s">
        <v>1</v>
      </c>
      <c r="G2" s="27"/>
      <c r="H2" s="28" t="s">
        <v>2</v>
      </c>
      <c r="I2" s="2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>
      <c r="A3" s="1"/>
      <c r="B3" s="27"/>
      <c r="C3" s="27"/>
      <c r="D3" s="27"/>
      <c r="E3" s="27"/>
      <c r="F3" s="29">
        <f>COUNTA(B8:B100)</f>
        <v>20</v>
      </c>
      <c r="G3" s="27"/>
      <c r="H3" s="29">
        <f>COUNTIF(H8:H100, "En Negociación")</f>
        <v>0</v>
      </c>
      <c r="I3" s="2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>
      <c r="A4" s="1"/>
      <c r="B4" s="27"/>
      <c r="C4" s="27"/>
      <c r="D4" s="27"/>
      <c r="E4" s="27"/>
      <c r="F4" s="27"/>
      <c r="G4" s="27"/>
      <c r="H4" s="27"/>
      <c r="I4" s="2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>
      <c r="A7" s="2"/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4" t="s">
        <v>9</v>
      </c>
      <c r="I7" s="4" t="s">
        <v>10</v>
      </c>
      <c r="J7" s="4" t="s">
        <v>11</v>
      </c>
      <c r="K7" s="4" t="s">
        <v>12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>
      <c r="A8" s="2"/>
      <c r="B8" s="14" t="s">
        <v>239</v>
      </c>
      <c r="C8" s="6"/>
      <c r="D8" s="7"/>
      <c r="E8" s="7"/>
      <c r="F8" s="17" t="s">
        <v>295</v>
      </c>
      <c r="G8" s="14" t="s">
        <v>296</v>
      </c>
      <c r="H8" s="9"/>
      <c r="I8" s="9"/>
      <c r="J8" s="9"/>
      <c r="K8" s="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>
      <c r="A9" s="2"/>
      <c r="B9" s="14" t="s">
        <v>297</v>
      </c>
      <c r="C9" s="5"/>
      <c r="D9" s="7"/>
      <c r="E9" s="7"/>
      <c r="F9" s="32" t="s">
        <v>298</v>
      </c>
      <c r="G9" s="14" t="s">
        <v>299</v>
      </c>
      <c r="H9" s="9"/>
      <c r="I9" s="9"/>
      <c r="J9" s="9"/>
      <c r="K9" s="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>
      <c r="A10" s="2"/>
      <c r="B10" s="14" t="s">
        <v>300</v>
      </c>
      <c r="C10" s="5"/>
      <c r="D10" s="7"/>
      <c r="E10" s="7"/>
      <c r="F10" s="17" t="s">
        <v>301</v>
      </c>
      <c r="G10" s="14" t="s">
        <v>302</v>
      </c>
      <c r="H10" s="9"/>
      <c r="I10" s="9"/>
      <c r="J10" s="9"/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>
      <c r="A11" s="2"/>
      <c r="B11" s="14" t="s">
        <v>303</v>
      </c>
      <c r="C11" s="11"/>
      <c r="D11" s="12"/>
      <c r="E11" s="12"/>
      <c r="F11" s="12" t="s">
        <v>304</v>
      </c>
      <c r="G11" s="14" t="s">
        <v>305</v>
      </c>
      <c r="H11" s="9"/>
      <c r="I11" s="9"/>
      <c r="J11" s="9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>
      <c r="A12" s="2"/>
      <c r="B12" s="14" t="s">
        <v>306</v>
      </c>
      <c r="C12" s="10"/>
      <c r="D12" s="12"/>
      <c r="E12" s="12"/>
      <c r="F12" s="12" t="s">
        <v>307</v>
      </c>
      <c r="G12" s="14" t="s">
        <v>308</v>
      </c>
      <c r="H12" s="9"/>
      <c r="I12" s="9"/>
      <c r="J12" s="9"/>
      <c r="K12" s="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>
      <c r="A13" s="2"/>
      <c r="B13" s="14" t="s">
        <v>309</v>
      </c>
      <c r="C13" s="10"/>
      <c r="D13" s="12"/>
      <c r="E13" s="12"/>
      <c r="F13" s="12" t="s">
        <v>310</v>
      </c>
      <c r="G13" s="14" t="s">
        <v>311</v>
      </c>
      <c r="H13" s="9"/>
      <c r="I13" s="9"/>
      <c r="J13" s="9"/>
      <c r="K13" s="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>
      <c r="A14" s="2"/>
      <c r="B14" s="14" t="s">
        <v>312</v>
      </c>
      <c r="C14" s="6"/>
      <c r="D14" s="7"/>
      <c r="E14" s="7"/>
      <c r="F14" s="31" t="s">
        <v>313</v>
      </c>
      <c r="G14" s="14" t="s">
        <v>314</v>
      </c>
      <c r="H14" s="9"/>
      <c r="I14" s="9"/>
      <c r="J14" s="9"/>
      <c r="K14" s="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>
      <c r="A15" s="2"/>
      <c r="B15" s="14" t="s">
        <v>315</v>
      </c>
      <c r="C15" s="5"/>
      <c r="D15" s="7"/>
      <c r="E15" s="7"/>
      <c r="F15" s="7" t="s">
        <v>316</v>
      </c>
      <c r="G15" s="14" t="s">
        <v>317</v>
      </c>
      <c r="H15" s="9"/>
      <c r="I15" s="9"/>
      <c r="J15" s="9"/>
      <c r="K15" s="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>
      <c r="A16" s="2"/>
      <c r="B16" s="14" t="s">
        <v>318</v>
      </c>
      <c r="C16" s="5"/>
      <c r="D16" s="7"/>
      <c r="E16" s="7"/>
      <c r="F16" s="7" t="s">
        <v>319</v>
      </c>
      <c r="G16" s="14" t="s">
        <v>320</v>
      </c>
      <c r="H16" s="9"/>
      <c r="I16" s="9"/>
      <c r="J16" s="9"/>
      <c r="K16" s="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>
      <c r="A17" s="2"/>
      <c r="B17" s="14" t="s">
        <v>321</v>
      </c>
      <c r="C17" s="11"/>
      <c r="D17" s="12"/>
      <c r="E17" s="12"/>
      <c r="F17" s="12" t="s">
        <v>322</v>
      </c>
      <c r="G17" s="14" t="s">
        <v>323</v>
      </c>
      <c r="H17" s="9"/>
      <c r="I17" s="9"/>
      <c r="J17" s="9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>
      <c r="A18" s="2"/>
      <c r="B18" s="14" t="s">
        <v>324</v>
      </c>
      <c r="C18" s="10"/>
      <c r="D18" s="12"/>
      <c r="E18" s="12"/>
      <c r="F18" s="12" t="s">
        <v>325</v>
      </c>
      <c r="G18" s="14" t="s">
        <v>326</v>
      </c>
      <c r="H18" s="9"/>
      <c r="I18" s="9"/>
      <c r="J18" s="9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>
      <c r="A19" s="2"/>
      <c r="B19" s="14" t="s">
        <v>327</v>
      </c>
      <c r="C19" s="10"/>
      <c r="D19" s="12"/>
      <c r="E19" s="12"/>
      <c r="F19" s="12" t="s">
        <v>328</v>
      </c>
      <c r="G19" s="14" t="s">
        <v>329</v>
      </c>
      <c r="H19" s="9"/>
      <c r="I19" s="9"/>
      <c r="J19" s="9"/>
      <c r="K19" s="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>
      <c r="A20" s="2"/>
      <c r="B20" s="14" t="s">
        <v>330</v>
      </c>
      <c r="C20" s="6"/>
      <c r="D20" s="7"/>
      <c r="E20" s="7"/>
      <c r="F20" s="18"/>
      <c r="G20" s="19"/>
      <c r="H20" s="9"/>
      <c r="I20" s="9"/>
      <c r="J20" s="9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>
      <c r="A21" s="2"/>
      <c r="B21" s="14" t="s">
        <v>331</v>
      </c>
      <c r="C21" s="5"/>
      <c r="D21" s="7"/>
      <c r="E21" s="7"/>
      <c r="F21" s="7" t="s">
        <v>332</v>
      </c>
      <c r="G21" s="14" t="s">
        <v>333</v>
      </c>
      <c r="H21" s="9"/>
      <c r="I21" s="9"/>
      <c r="J21" s="9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>
      <c r="A22" s="2"/>
      <c r="B22" s="14" t="s">
        <v>334</v>
      </c>
      <c r="C22" s="11"/>
      <c r="D22" s="12"/>
      <c r="E22" s="12"/>
      <c r="F22" s="20"/>
      <c r="G22" s="19"/>
      <c r="H22" s="9"/>
      <c r="I22" s="9"/>
      <c r="J22" s="9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>
      <c r="A23" s="2"/>
      <c r="B23" s="14" t="s">
        <v>335</v>
      </c>
      <c r="C23" s="10"/>
      <c r="D23" s="12"/>
      <c r="E23" s="12"/>
      <c r="F23" s="12" t="s">
        <v>336</v>
      </c>
      <c r="G23" s="14" t="s">
        <v>337</v>
      </c>
      <c r="H23" s="9"/>
      <c r="I23" s="9"/>
      <c r="J23" s="9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>
      <c r="A24" s="2"/>
      <c r="B24" s="14" t="s">
        <v>338</v>
      </c>
      <c r="C24" s="6"/>
      <c r="D24" s="7"/>
      <c r="E24" s="7"/>
      <c r="F24" s="7" t="s">
        <v>339</v>
      </c>
      <c r="G24" s="14" t="s">
        <v>340</v>
      </c>
      <c r="H24" s="9"/>
      <c r="I24" s="9"/>
      <c r="J24" s="9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>
      <c r="A25" s="2"/>
      <c r="B25" s="14" t="s">
        <v>341</v>
      </c>
      <c r="C25" s="5"/>
      <c r="D25" s="7"/>
      <c r="E25" s="7"/>
      <c r="F25" s="31" t="s">
        <v>342</v>
      </c>
      <c r="G25" s="14" t="s">
        <v>343</v>
      </c>
      <c r="H25" s="9"/>
      <c r="I25" s="9"/>
      <c r="J25" s="9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>
      <c r="A26" s="2"/>
      <c r="B26" s="14" t="s">
        <v>344</v>
      </c>
      <c r="C26" s="11"/>
      <c r="D26" s="12"/>
      <c r="E26" s="12"/>
      <c r="F26" s="12" t="s">
        <v>345</v>
      </c>
      <c r="G26" s="14" t="s">
        <v>346</v>
      </c>
      <c r="H26" s="9"/>
      <c r="I26" s="9"/>
      <c r="J26" s="9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>
      <c r="A27" s="2"/>
      <c r="B27" s="14" t="s">
        <v>347</v>
      </c>
      <c r="C27" s="10"/>
      <c r="D27" s="12"/>
      <c r="E27" s="12"/>
      <c r="F27" s="20"/>
      <c r="G27" s="15"/>
      <c r="H27" s="9"/>
      <c r="I27" s="9"/>
      <c r="J27" s="9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10"/>
      <c r="C28" s="10"/>
      <c r="D28" s="12"/>
      <c r="E28" s="12"/>
      <c r="F28" s="12"/>
      <c r="G28" s="8"/>
      <c r="H28" s="9"/>
      <c r="I28" s="9"/>
      <c r="J28" s="9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5"/>
      <c r="C29" s="6"/>
      <c r="D29" s="7"/>
      <c r="E29" s="7"/>
      <c r="F29" s="5"/>
      <c r="G29" s="13"/>
      <c r="H29" s="9"/>
      <c r="I29" s="9"/>
      <c r="J29" s="9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5"/>
      <c r="C30" s="5"/>
      <c r="D30" s="7"/>
      <c r="E30" s="7"/>
      <c r="F30" s="5"/>
      <c r="G30" s="8"/>
      <c r="H30" s="9"/>
      <c r="I30" s="9"/>
      <c r="J30" s="9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5"/>
      <c r="C31" s="5"/>
      <c r="D31" s="7"/>
      <c r="E31" s="7"/>
      <c r="F31" s="5"/>
      <c r="G31" s="8"/>
      <c r="H31" s="9"/>
      <c r="I31" s="9"/>
      <c r="J31" s="9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>
      <c r="A32" s="2"/>
      <c r="B32" s="5"/>
      <c r="C32" s="5"/>
      <c r="D32" s="7"/>
      <c r="E32" s="7"/>
      <c r="F32" s="5"/>
      <c r="G32" s="8"/>
      <c r="H32" s="9"/>
      <c r="I32" s="9"/>
      <c r="J32" s="9"/>
      <c r="K32" s="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>
      <c r="A33" s="2"/>
      <c r="B33" s="5"/>
      <c r="C33" s="5"/>
      <c r="D33" s="7"/>
      <c r="E33" s="7"/>
      <c r="F33" s="5"/>
      <c r="G33" s="8"/>
      <c r="H33" s="9"/>
      <c r="I33" s="9"/>
      <c r="J33" s="9"/>
      <c r="K33" s="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>
      <c r="A34" s="2"/>
      <c r="B34" s="10"/>
      <c r="C34" s="11"/>
      <c r="D34" s="12"/>
      <c r="E34" s="12"/>
      <c r="F34" s="10"/>
      <c r="G34" s="13"/>
      <c r="H34" s="9"/>
      <c r="I34" s="9"/>
      <c r="J34" s="9"/>
      <c r="K34" s="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>
      <c r="A35" s="2"/>
      <c r="B35" s="10"/>
      <c r="C35" s="10"/>
      <c r="D35" s="12"/>
      <c r="E35" s="12"/>
      <c r="F35" s="10"/>
      <c r="G35" s="8"/>
      <c r="H35" s="9"/>
      <c r="I35" s="9"/>
      <c r="J35" s="9"/>
      <c r="K35" s="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>
      <c r="A36" s="2"/>
      <c r="B36" s="5"/>
      <c r="C36" s="6"/>
      <c r="D36" s="7"/>
      <c r="E36" s="7"/>
      <c r="F36" s="5"/>
      <c r="G36" s="13"/>
      <c r="H36" s="9"/>
      <c r="I36" s="9"/>
      <c r="J36" s="9"/>
      <c r="K36" s="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>
      <c r="A37" s="2"/>
      <c r="B37" s="5"/>
      <c r="C37" s="5"/>
      <c r="D37" s="7"/>
      <c r="E37" s="7"/>
      <c r="F37" s="5"/>
      <c r="G37" s="8"/>
      <c r="H37" s="9"/>
      <c r="I37" s="9"/>
      <c r="J37" s="9"/>
      <c r="K37" s="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2"/>
      <c r="B38" s="10"/>
      <c r="C38" s="11"/>
      <c r="D38" s="12"/>
      <c r="E38" s="12"/>
      <c r="F38" s="10"/>
      <c r="G38" s="13"/>
      <c r="H38" s="9"/>
      <c r="I38" s="9"/>
      <c r="J38" s="9"/>
      <c r="K38" s="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2"/>
      <c r="B39" s="10"/>
      <c r="C39" s="10"/>
      <c r="D39" s="12"/>
      <c r="E39" s="12"/>
      <c r="F39" s="10"/>
      <c r="G39" s="8"/>
      <c r="H39" s="9"/>
      <c r="I39" s="9"/>
      <c r="J39" s="9"/>
      <c r="K39" s="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2"/>
      <c r="B40" s="5"/>
      <c r="C40" s="6"/>
      <c r="D40" s="7"/>
      <c r="E40" s="7"/>
      <c r="F40" s="5"/>
      <c r="G40" s="13"/>
      <c r="H40" s="9"/>
      <c r="I40" s="9"/>
      <c r="J40" s="9"/>
      <c r="K40" s="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>
      <c r="A41" s="2"/>
      <c r="B41" s="5"/>
      <c r="C41" s="5"/>
      <c r="D41" s="7"/>
      <c r="E41" s="7"/>
      <c r="F41" s="5"/>
      <c r="G41" s="8"/>
      <c r="H41" s="9"/>
      <c r="I41" s="9"/>
      <c r="J41" s="9"/>
      <c r="K41" s="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>
      <c r="A42" s="2"/>
      <c r="B42" s="10"/>
      <c r="C42" s="11"/>
      <c r="D42" s="12"/>
      <c r="E42" s="12"/>
      <c r="F42" s="10"/>
      <c r="G42" s="13"/>
      <c r="H42" s="9"/>
      <c r="I42" s="9"/>
      <c r="J42" s="9"/>
      <c r="K42" s="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>
      <c r="A43" s="2"/>
      <c r="B43" s="10"/>
      <c r="C43" s="10"/>
      <c r="D43" s="12"/>
      <c r="E43" s="12"/>
      <c r="F43" s="10"/>
      <c r="G43" s="8"/>
      <c r="H43" s="9"/>
      <c r="I43" s="9"/>
      <c r="J43" s="9"/>
      <c r="K43" s="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2"/>
      <c r="B44" s="5"/>
      <c r="C44" s="6"/>
      <c r="D44" s="7"/>
      <c r="E44" s="7"/>
      <c r="F44" s="5"/>
      <c r="G44" s="13"/>
      <c r="H44" s="9"/>
      <c r="I44" s="9"/>
      <c r="J44" s="9"/>
      <c r="K44" s="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2"/>
      <c r="B45" s="5"/>
      <c r="C45" s="5"/>
      <c r="D45" s="7"/>
      <c r="E45" s="7"/>
      <c r="F45" s="5"/>
      <c r="G45" s="8"/>
      <c r="H45" s="9"/>
      <c r="I45" s="9"/>
      <c r="J45" s="9"/>
      <c r="K45" s="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2"/>
      <c r="B46" s="5"/>
      <c r="C46" s="5"/>
      <c r="D46" s="7"/>
      <c r="E46" s="7"/>
      <c r="F46" s="5"/>
      <c r="G46" s="8"/>
      <c r="H46" s="9"/>
      <c r="I46" s="9"/>
      <c r="J46" s="9"/>
      <c r="K46" s="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>
      <c r="A47" s="2"/>
      <c r="B47" s="10"/>
      <c r="C47" s="11"/>
      <c r="D47" s="12"/>
      <c r="E47" s="12"/>
      <c r="F47" s="10"/>
      <c r="G47" s="13"/>
      <c r="H47" s="9"/>
      <c r="I47" s="9"/>
      <c r="J47" s="9"/>
      <c r="K47" s="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2"/>
      <c r="B48" s="10"/>
      <c r="C48" s="10"/>
      <c r="D48" s="12"/>
      <c r="E48" s="12"/>
      <c r="F48" s="10"/>
      <c r="G48" s="8"/>
      <c r="H48" s="9"/>
      <c r="I48" s="9"/>
      <c r="J48" s="9"/>
      <c r="K48" s="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2"/>
      <c r="B49" s="10"/>
      <c r="C49" s="10"/>
      <c r="D49" s="12"/>
      <c r="E49" s="12"/>
      <c r="F49" s="10"/>
      <c r="G49" s="8"/>
      <c r="H49" s="9"/>
      <c r="I49" s="9"/>
      <c r="J49" s="9"/>
      <c r="K49" s="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2"/>
      <c r="B50" s="5"/>
      <c r="C50" s="6"/>
      <c r="D50" s="7"/>
      <c r="E50" s="7"/>
      <c r="F50" s="5"/>
      <c r="G50" s="13"/>
      <c r="H50" s="9"/>
      <c r="I50" s="9"/>
      <c r="J50" s="9"/>
      <c r="K50" s="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>
      <c r="A51" s="2"/>
      <c r="B51" s="5"/>
      <c r="C51" s="5"/>
      <c r="D51" s="7"/>
      <c r="E51" s="7"/>
      <c r="F51" s="5"/>
      <c r="G51" s="8"/>
      <c r="H51" s="9"/>
      <c r="I51" s="9"/>
      <c r="J51" s="9"/>
      <c r="K51" s="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>
      <c r="A52" s="2"/>
      <c r="B52" s="5"/>
      <c r="C52" s="5"/>
      <c r="D52" s="7"/>
      <c r="E52" s="7"/>
      <c r="F52" s="5"/>
      <c r="G52" s="8"/>
      <c r="H52" s="9"/>
      <c r="I52" s="9"/>
      <c r="J52" s="9"/>
      <c r="K52" s="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2"/>
      <c r="B53" s="10"/>
      <c r="C53" s="11"/>
      <c r="D53" s="12"/>
      <c r="E53" s="12"/>
      <c r="F53" s="10"/>
      <c r="G53" s="13"/>
      <c r="H53" s="9"/>
      <c r="I53" s="9"/>
      <c r="J53" s="9"/>
      <c r="K53" s="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2"/>
      <c r="B54" s="10"/>
      <c r="C54" s="10"/>
      <c r="D54" s="12"/>
      <c r="E54" s="12"/>
      <c r="F54" s="10"/>
      <c r="G54" s="8"/>
      <c r="H54" s="9"/>
      <c r="I54" s="9"/>
      <c r="J54" s="9"/>
      <c r="K54" s="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2"/>
      <c r="B55" s="5"/>
      <c r="C55" s="6"/>
      <c r="D55" s="7"/>
      <c r="E55" s="7"/>
      <c r="F55" s="5"/>
      <c r="G55" s="13"/>
      <c r="H55" s="9"/>
      <c r="I55" s="9"/>
      <c r="J55" s="9"/>
      <c r="K55" s="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2"/>
      <c r="B56" s="5"/>
      <c r="C56" s="5"/>
      <c r="D56" s="7"/>
      <c r="E56" s="7"/>
      <c r="F56" s="5"/>
      <c r="G56" s="8"/>
      <c r="H56" s="9"/>
      <c r="I56" s="9"/>
      <c r="J56" s="9"/>
      <c r="K56" s="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2"/>
      <c r="B57" s="5"/>
      <c r="C57" s="5"/>
      <c r="D57" s="7"/>
      <c r="E57" s="7"/>
      <c r="F57" s="5"/>
      <c r="G57" s="8"/>
      <c r="H57" s="9"/>
      <c r="I57" s="9"/>
      <c r="J57" s="9"/>
      <c r="K57" s="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2"/>
      <c r="B58" s="10"/>
      <c r="C58" s="11"/>
      <c r="D58" s="12"/>
      <c r="E58" s="12"/>
      <c r="F58" s="10"/>
      <c r="G58" s="13"/>
      <c r="H58" s="9"/>
      <c r="I58" s="9"/>
      <c r="J58" s="9"/>
      <c r="K58" s="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>
      <c r="A59" s="2"/>
      <c r="B59" s="10"/>
      <c r="C59" s="10"/>
      <c r="D59" s="12"/>
      <c r="E59" s="12"/>
      <c r="F59" s="10"/>
      <c r="G59" s="8"/>
      <c r="H59" s="9"/>
      <c r="I59" s="9"/>
      <c r="J59" s="9"/>
      <c r="K59" s="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2"/>
      <c r="B60" s="10"/>
      <c r="C60" s="10"/>
      <c r="D60" s="12"/>
      <c r="E60" s="12"/>
      <c r="F60" s="10"/>
      <c r="G60" s="8"/>
      <c r="H60" s="9"/>
      <c r="I60" s="9"/>
      <c r="J60" s="9"/>
      <c r="K60" s="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2"/>
      <c r="B61" s="10"/>
      <c r="C61" s="10"/>
      <c r="D61" s="12"/>
      <c r="E61" s="12"/>
      <c r="F61" s="10"/>
      <c r="G61" s="8"/>
      <c r="H61" s="9"/>
      <c r="I61" s="9"/>
      <c r="J61" s="9"/>
      <c r="K61" s="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2"/>
      <c r="B62" s="5"/>
      <c r="C62" s="6"/>
      <c r="D62" s="7"/>
      <c r="E62" s="7"/>
      <c r="F62" s="5"/>
      <c r="G62" s="13"/>
      <c r="H62" s="9"/>
      <c r="I62" s="9"/>
      <c r="J62" s="9"/>
      <c r="K62" s="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2"/>
      <c r="B63" s="5"/>
      <c r="C63" s="5"/>
      <c r="D63" s="7"/>
      <c r="E63" s="7"/>
      <c r="F63" s="5"/>
      <c r="G63" s="8"/>
      <c r="H63" s="9"/>
      <c r="I63" s="9"/>
      <c r="J63" s="9"/>
      <c r="K63" s="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2"/>
      <c r="B64" s="10"/>
      <c r="C64" s="11"/>
      <c r="D64" s="12"/>
      <c r="E64" s="12"/>
      <c r="F64" s="10"/>
      <c r="G64" s="13"/>
      <c r="H64" s="9"/>
      <c r="I64" s="9"/>
      <c r="J64" s="9"/>
      <c r="K64" s="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2"/>
      <c r="B65" s="10"/>
      <c r="C65" s="10"/>
      <c r="D65" s="12"/>
      <c r="E65" s="12"/>
      <c r="F65" s="10"/>
      <c r="G65" s="8"/>
      <c r="H65" s="9"/>
      <c r="I65" s="9"/>
      <c r="J65" s="9"/>
      <c r="K65" s="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>
      <c r="A66" s="2"/>
      <c r="B66" s="10"/>
      <c r="C66" s="10"/>
      <c r="D66" s="12"/>
      <c r="E66" s="12"/>
      <c r="F66" s="10"/>
      <c r="G66" s="8"/>
      <c r="H66" s="9"/>
      <c r="I66" s="9"/>
      <c r="J66" s="9"/>
      <c r="K66" s="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>
      <c r="A67" s="2"/>
      <c r="B67" s="10"/>
      <c r="C67" s="10"/>
      <c r="D67" s="12"/>
      <c r="E67" s="12"/>
      <c r="F67" s="10"/>
      <c r="G67" s="8"/>
      <c r="H67" s="9"/>
      <c r="I67" s="9"/>
      <c r="J67" s="9"/>
      <c r="K67" s="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>
      <c r="A68" s="2"/>
      <c r="B68" s="5"/>
      <c r="C68" s="6"/>
      <c r="D68" s="7"/>
      <c r="E68" s="7"/>
      <c r="F68" s="5"/>
      <c r="G68" s="13"/>
      <c r="H68" s="9"/>
      <c r="I68" s="9"/>
      <c r="J68" s="9"/>
      <c r="K68" s="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2"/>
      <c r="B69" s="5"/>
      <c r="C69" s="5"/>
      <c r="D69" s="7"/>
      <c r="E69" s="7"/>
      <c r="F69" s="5"/>
      <c r="G69" s="8"/>
      <c r="H69" s="9"/>
      <c r="I69" s="9"/>
      <c r="J69" s="9"/>
      <c r="K69" s="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>
      <c r="A70" s="2"/>
      <c r="B70" s="10"/>
      <c r="C70" s="11"/>
      <c r="D70" s="12"/>
      <c r="E70" s="12"/>
      <c r="F70" s="10"/>
      <c r="G70" s="13"/>
      <c r="H70" s="9"/>
      <c r="I70" s="9"/>
      <c r="J70" s="9"/>
      <c r="K70" s="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>
      <c r="A71" s="2"/>
      <c r="B71" s="10"/>
      <c r="C71" s="10"/>
      <c r="D71" s="12"/>
      <c r="E71" s="12"/>
      <c r="F71" s="10"/>
      <c r="G71" s="8"/>
      <c r="H71" s="9"/>
      <c r="I71" s="9"/>
      <c r="J71" s="9"/>
      <c r="K71" s="9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>
      <c r="A72" s="2"/>
      <c r="B72" s="5"/>
      <c r="C72" s="6"/>
      <c r="D72" s="7"/>
      <c r="E72" s="7"/>
      <c r="F72" s="5"/>
      <c r="G72" s="13"/>
      <c r="H72" s="9"/>
      <c r="I72" s="9"/>
      <c r="J72" s="9"/>
      <c r="K72" s="9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>
      <c r="A73" s="2"/>
      <c r="B73" s="5"/>
      <c r="C73" s="5"/>
      <c r="D73" s="7"/>
      <c r="E73" s="7"/>
      <c r="F73" s="5"/>
      <c r="G73" s="8"/>
      <c r="H73" s="9"/>
      <c r="I73" s="9"/>
      <c r="J73" s="9"/>
      <c r="K73" s="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>
      <c r="A74" s="2"/>
      <c r="B74" s="10"/>
      <c r="C74" s="11"/>
      <c r="D74" s="12"/>
      <c r="E74" s="12"/>
      <c r="F74" s="10"/>
      <c r="G74" s="13"/>
      <c r="H74" s="9"/>
      <c r="I74" s="9"/>
      <c r="J74" s="9"/>
      <c r="K74" s="9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>
      <c r="A75" s="2"/>
      <c r="B75" s="10"/>
      <c r="C75" s="10"/>
      <c r="D75" s="12"/>
      <c r="E75" s="12"/>
      <c r="F75" s="10"/>
      <c r="G75" s="8"/>
      <c r="H75" s="9"/>
      <c r="I75" s="9"/>
      <c r="J75" s="9"/>
      <c r="K75" s="9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>
      <c r="A76" s="2"/>
      <c r="B76" s="10"/>
      <c r="C76" s="10"/>
      <c r="D76" s="12"/>
      <c r="E76" s="12"/>
      <c r="F76" s="10"/>
      <c r="G76" s="8"/>
      <c r="H76" s="9"/>
      <c r="I76" s="9"/>
      <c r="J76" s="9"/>
      <c r="K76" s="9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>
      <c r="A77" s="2"/>
      <c r="B77" s="5"/>
      <c r="C77" s="6"/>
      <c r="D77" s="7"/>
      <c r="E77" s="7"/>
      <c r="F77" s="5"/>
      <c r="G77" s="13"/>
      <c r="H77" s="9"/>
      <c r="I77" s="9"/>
      <c r="J77" s="9"/>
      <c r="K77" s="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>
      <c r="A78" s="2"/>
      <c r="B78" s="5"/>
      <c r="C78" s="5"/>
      <c r="D78" s="7"/>
      <c r="E78" s="7"/>
      <c r="F78" s="5"/>
      <c r="G78" s="8"/>
      <c r="H78" s="9"/>
      <c r="I78" s="9"/>
      <c r="J78" s="9"/>
      <c r="K78" s="9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>
      <c r="A79" s="2"/>
      <c r="B79" s="5"/>
      <c r="C79" s="5"/>
      <c r="D79" s="7"/>
      <c r="E79" s="7"/>
      <c r="F79" s="5"/>
      <c r="G79" s="8"/>
      <c r="H79" s="9"/>
      <c r="I79" s="9"/>
      <c r="J79" s="9"/>
      <c r="K79" s="9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>
      <c r="A80" s="2"/>
      <c r="B80" s="10"/>
      <c r="C80" s="11"/>
      <c r="D80" s="12"/>
      <c r="E80" s="12"/>
      <c r="F80" s="10"/>
      <c r="G80" s="13"/>
      <c r="H80" s="9"/>
      <c r="I80" s="9"/>
      <c r="J80" s="9"/>
      <c r="K80" s="9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>
      <c r="A81" s="2"/>
      <c r="B81" s="10"/>
      <c r="C81" s="10"/>
      <c r="D81" s="12"/>
      <c r="E81" s="12"/>
      <c r="F81" s="10"/>
      <c r="G81" s="8"/>
      <c r="H81" s="9"/>
      <c r="I81" s="9"/>
      <c r="J81" s="9"/>
      <c r="K81" s="9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>
      <c r="A82" s="2"/>
      <c r="B82" s="10"/>
      <c r="C82" s="10"/>
      <c r="D82" s="12"/>
      <c r="E82" s="12"/>
      <c r="F82" s="10"/>
      <c r="G82" s="8"/>
      <c r="H82" s="9"/>
      <c r="I82" s="9"/>
      <c r="J82" s="9"/>
      <c r="K82" s="9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>
      <c r="A83" s="2"/>
      <c r="B83" s="5"/>
      <c r="C83" s="6"/>
      <c r="D83" s="7"/>
      <c r="E83" s="7"/>
      <c r="F83" s="5"/>
      <c r="G83" s="13"/>
      <c r="H83" s="9"/>
      <c r="I83" s="9"/>
      <c r="J83" s="9"/>
      <c r="K83" s="9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>
      <c r="A84" s="2"/>
      <c r="B84" s="5"/>
      <c r="C84" s="5"/>
      <c r="D84" s="7"/>
      <c r="E84" s="7"/>
      <c r="F84" s="5"/>
      <c r="G84" s="8"/>
      <c r="H84" s="9"/>
      <c r="I84" s="9"/>
      <c r="J84" s="9"/>
      <c r="K84" s="9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2"/>
      <c r="B85" s="9"/>
      <c r="C85" s="9"/>
      <c r="D85" s="9"/>
      <c r="E85" s="9"/>
      <c r="F85" s="9"/>
      <c r="G85" s="9"/>
      <c r="H85" s="9"/>
      <c r="I85" s="9"/>
      <c r="J85" s="9"/>
      <c r="K85" s="9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2"/>
      <c r="B86" s="9"/>
      <c r="C86" s="9"/>
      <c r="D86" s="9"/>
      <c r="E86" s="9"/>
      <c r="F86" s="9"/>
      <c r="G86" s="9"/>
      <c r="H86" s="9"/>
      <c r="I86" s="9"/>
      <c r="J86" s="9"/>
      <c r="K86" s="9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2"/>
      <c r="B87" s="9"/>
      <c r="C87" s="9"/>
      <c r="D87" s="9"/>
      <c r="E87" s="9"/>
      <c r="F87" s="9"/>
      <c r="G87" s="9"/>
      <c r="H87" s="9"/>
      <c r="I87" s="9"/>
      <c r="J87" s="9"/>
      <c r="K87" s="9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2"/>
      <c r="B88" s="9"/>
      <c r="C88" s="9"/>
      <c r="D88" s="9"/>
      <c r="E88" s="9"/>
      <c r="F88" s="9"/>
      <c r="G88" s="9"/>
      <c r="H88" s="9"/>
      <c r="I88" s="9"/>
      <c r="J88" s="9"/>
      <c r="K88" s="9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2"/>
      <c r="B89" s="9"/>
      <c r="C89" s="9"/>
      <c r="D89" s="9"/>
      <c r="E89" s="9"/>
      <c r="F89" s="9"/>
      <c r="G89" s="9"/>
      <c r="H89" s="9"/>
      <c r="I89" s="9"/>
      <c r="J89" s="9"/>
      <c r="K89" s="9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2"/>
      <c r="B90" s="9"/>
      <c r="C90" s="9"/>
      <c r="D90" s="9"/>
      <c r="E90" s="9"/>
      <c r="F90" s="9"/>
      <c r="G90" s="9"/>
      <c r="H90" s="9"/>
      <c r="I90" s="9"/>
      <c r="J90" s="9"/>
      <c r="K90" s="9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2"/>
      <c r="B91" s="9"/>
      <c r="C91" s="9"/>
      <c r="D91" s="9"/>
      <c r="E91" s="9"/>
      <c r="F91" s="9"/>
      <c r="G91" s="9"/>
      <c r="H91" s="9"/>
      <c r="I91" s="9"/>
      <c r="J91" s="9"/>
      <c r="K91" s="9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2"/>
      <c r="B92" s="9"/>
      <c r="C92" s="9"/>
      <c r="D92" s="9"/>
      <c r="E92" s="9"/>
      <c r="F92" s="9"/>
      <c r="G92" s="9"/>
      <c r="H92" s="9"/>
      <c r="I92" s="9"/>
      <c r="J92" s="9"/>
      <c r="K92" s="9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2"/>
      <c r="B93" s="9"/>
      <c r="C93" s="9"/>
      <c r="D93" s="9"/>
      <c r="E93" s="9"/>
      <c r="F93" s="9"/>
      <c r="G93" s="9"/>
      <c r="H93" s="9"/>
      <c r="I93" s="9"/>
      <c r="J93" s="9"/>
      <c r="K93" s="9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2"/>
      <c r="B94" s="9"/>
      <c r="C94" s="9"/>
      <c r="D94" s="9"/>
      <c r="E94" s="9"/>
      <c r="F94" s="9"/>
      <c r="G94" s="9"/>
      <c r="H94" s="9"/>
      <c r="I94" s="9"/>
      <c r="J94" s="9"/>
      <c r="K94" s="9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/>
      <c r="B95" s="9"/>
      <c r="C95" s="9"/>
      <c r="D95" s="9"/>
      <c r="E95" s="9"/>
      <c r="F95" s="9"/>
      <c r="G95" s="9"/>
      <c r="H95" s="9"/>
      <c r="I95" s="9"/>
      <c r="J95" s="9"/>
      <c r="K95" s="9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2"/>
      <c r="B96" s="9"/>
      <c r="C96" s="9"/>
      <c r="D96" s="9"/>
      <c r="E96" s="9"/>
      <c r="F96" s="9"/>
      <c r="G96" s="9"/>
      <c r="H96" s="9"/>
      <c r="I96" s="9"/>
      <c r="J96" s="9"/>
      <c r="K96" s="9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/>
      <c r="B97" s="9"/>
      <c r="C97" s="9"/>
      <c r="D97" s="9"/>
      <c r="E97" s="9"/>
      <c r="F97" s="9"/>
      <c r="G97" s="9"/>
      <c r="H97" s="9"/>
      <c r="I97" s="9"/>
      <c r="J97" s="9"/>
      <c r="K97" s="9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/>
      <c r="B98" s="9"/>
      <c r="C98" s="9"/>
      <c r="D98" s="9"/>
      <c r="E98" s="9"/>
      <c r="F98" s="9"/>
      <c r="G98" s="9"/>
      <c r="H98" s="9"/>
      <c r="I98" s="9"/>
      <c r="J98" s="9"/>
      <c r="K98" s="9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2"/>
      <c r="B99" s="9"/>
      <c r="C99" s="9"/>
      <c r="D99" s="9"/>
      <c r="E99" s="9"/>
      <c r="F99" s="9"/>
      <c r="G99" s="9"/>
      <c r="H99" s="9"/>
      <c r="I99" s="9"/>
      <c r="J99" s="9"/>
      <c r="K99" s="9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2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B2:E4"/>
    <mergeCell ref="F2:G2"/>
    <mergeCell ref="H2:I2"/>
    <mergeCell ref="F3:G4"/>
    <mergeCell ref="H3:I4"/>
  </mergeCells>
  <dataValidations count="1">
    <dataValidation type="list" allowBlank="1" sqref="H8:H100">
      <formula1>"Nuevo,Contactado,En Negociación,Cerrado"</formula1>
    </dataValidation>
  </dataValidations>
  <hyperlinks>
    <hyperlink ref="F14" r:id="rId1"/>
    <hyperlink ref="F9" r:id="rId2"/>
    <hyperlink ref="F25" r:id="rId3"/>
  </hyperlinks>
  <pageMargins left="0.7" right="0.7" top="0.75" bottom="0.75" header="0.3" footer="0.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2"/>
  <sheetViews>
    <sheetView showGridLines="0" workbookViewId="0">
      <pane ySplit="7" topLeftCell="A8" activePane="bottomLeft" state="frozen"/>
      <selection pane="bottomLeft" activeCell="B87" sqref="B87"/>
    </sheetView>
  </sheetViews>
  <sheetFormatPr baseColWidth="10" defaultColWidth="12.5703125" defaultRowHeight="15.75" customHeight="1"/>
  <cols>
    <col min="1" max="1" width="2.7109375" customWidth="1"/>
    <col min="2" max="2" width="18.85546875" customWidth="1"/>
    <col min="3" max="3" width="29.42578125" customWidth="1"/>
    <col min="4" max="4" width="37.85546875" customWidth="1"/>
    <col min="5" max="5" width="31.7109375" customWidth="1"/>
    <col min="6" max="6" width="31.5703125" customWidth="1"/>
    <col min="7" max="7" width="28.28515625" customWidth="1"/>
    <col min="8" max="8" width="22.5703125" customWidth="1"/>
    <col min="9" max="9" width="15.140625" customWidth="1"/>
    <col min="10" max="10" width="18.85546875" customWidth="1"/>
    <col min="11" max="11" width="25.140625" customWidth="1"/>
  </cols>
  <sheetData>
    <row r="1" spans="1:26" ht="12.75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>
      <c r="A2" s="1"/>
      <c r="B2" s="26" t="s">
        <v>0</v>
      </c>
      <c r="C2" s="27"/>
      <c r="D2" s="27"/>
      <c r="E2" s="27"/>
      <c r="F2" s="28" t="s">
        <v>1</v>
      </c>
      <c r="G2" s="27"/>
      <c r="H2" s="28" t="s">
        <v>2</v>
      </c>
      <c r="I2" s="2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>
      <c r="A3" s="1"/>
      <c r="B3" s="27"/>
      <c r="C3" s="27"/>
      <c r="D3" s="27"/>
      <c r="E3" s="27"/>
      <c r="F3" s="29">
        <f>COUNTA(B8:B92)</f>
        <v>8</v>
      </c>
      <c r="G3" s="27"/>
      <c r="H3" s="29">
        <f>COUNTIF(H8:H92, "En Negociación")</f>
        <v>0</v>
      </c>
      <c r="I3" s="2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>
      <c r="A4" s="1"/>
      <c r="B4" s="27"/>
      <c r="C4" s="27"/>
      <c r="D4" s="27"/>
      <c r="E4" s="27"/>
      <c r="F4" s="27"/>
      <c r="G4" s="27"/>
      <c r="H4" s="27"/>
      <c r="I4" s="2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>
      <c r="A7" s="2"/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4" t="s">
        <v>9</v>
      </c>
      <c r="I7" s="4" t="s">
        <v>10</v>
      </c>
      <c r="J7" s="4" t="s">
        <v>11</v>
      </c>
      <c r="K7" s="4" t="s">
        <v>12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21" t="s">
        <v>348</v>
      </c>
      <c r="C8" s="21"/>
      <c r="D8" s="21" t="s">
        <v>349</v>
      </c>
      <c r="E8" s="21"/>
      <c r="F8" s="18" t="s">
        <v>350</v>
      </c>
      <c r="G8" s="22" t="s">
        <v>350</v>
      </c>
      <c r="H8" s="9"/>
      <c r="I8" s="9"/>
      <c r="J8" s="9"/>
      <c r="K8" s="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21" t="s">
        <v>351</v>
      </c>
      <c r="C9" s="25" t="s">
        <v>352</v>
      </c>
      <c r="D9" s="21" t="s">
        <v>349</v>
      </c>
      <c r="E9" s="21"/>
      <c r="F9" s="18" t="s">
        <v>353</v>
      </c>
      <c r="G9" s="22" t="s">
        <v>354</v>
      </c>
      <c r="H9" s="9"/>
      <c r="I9" s="9"/>
      <c r="J9" s="9"/>
      <c r="K9" s="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21" t="s">
        <v>355</v>
      </c>
      <c r="D10" s="21" t="s">
        <v>349</v>
      </c>
      <c r="F10" s="18" t="s">
        <v>356</v>
      </c>
      <c r="G10" s="22" t="s">
        <v>357</v>
      </c>
      <c r="H10" s="9"/>
      <c r="I10" s="9"/>
      <c r="J10" s="9"/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21" t="s">
        <v>358</v>
      </c>
      <c r="C11" s="25"/>
      <c r="D11" s="21" t="s">
        <v>349</v>
      </c>
      <c r="E11" s="21"/>
      <c r="F11" s="20" t="s">
        <v>350</v>
      </c>
      <c r="G11" s="22" t="s">
        <v>350</v>
      </c>
      <c r="H11" s="9"/>
      <c r="I11" s="9"/>
      <c r="J11" s="9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21" t="s">
        <v>359</v>
      </c>
      <c r="C12" s="25"/>
      <c r="D12" s="21" t="s">
        <v>349</v>
      </c>
      <c r="E12" s="21"/>
      <c r="F12" s="20" t="s">
        <v>360</v>
      </c>
      <c r="G12" s="22" t="s">
        <v>361</v>
      </c>
      <c r="H12" s="9"/>
      <c r="I12" s="9"/>
      <c r="J12" s="9"/>
      <c r="K12" s="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21" t="s">
        <v>362</v>
      </c>
      <c r="C13" s="25" t="s">
        <v>363</v>
      </c>
      <c r="D13" s="21" t="s">
        <v>349</v>
      </c>
      <c r="E13" s="21"/>
      <c r="F13" s="20" t="s">
        <v>364</v>
      </c>
      <c r="G13" s="22" t="s">
        <v>365</v>
      </c>
      <c r="H13" s="9"/>
      <c r="I13" s="9"/>
      <c r="J13" s="9"/>
      <c r="K13" s="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21" t="s">
        <v>366</v>
      </c>
      <c r="C14" s="21"/>
      <c r="D14" s="21" t="s">
        <v>349</v>
      </c>
      <c r="E14" s="21"/>
      <c r="F14" s="18" t="s">
        <v>367</v>
      </c>
      <c r="G14" s="22" t="s">
        <v>368</v>
      </c>
      <c r="H14" s="9"/>
      <c r="I14" s="9"/>
      <c r="J14" s="9"/>
      <c r="K14" s="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21" t="s">
        <v>369</v>
      </c>
      <c r="C15" s="21"/>
      <c r="D15" s="21" t="s">
        <v>349</v>
      </c>
      <c r="E15" s="21"/>
      <c r="F15" s="18" t="s">
        <v>370</v>
      </c>
      <c r="G15" s="22" t="s">
        <v>371</v>
      </c>
      <c r="H15" s="9"/>
      <c r="I15" s="9"/>
      <c r="J15" s="9"/>
      <c r="K15" s="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5"/>
      <c r="C16" s="5"/>
      <c r="D16" s="7"/>
      <c r="E16" s="7"/>
      <c r="F16" s="23"/>
      <c r="G16" s="8"/>
      <c r="H16" s="9"/>
      <c r="I16" s="9"/>
      <c r="J16" s="9"/>
      <c r="K16" s="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10"/>
      <c r="C17" s="11"/>
      <c r="D17" s="12"/>
      <c r="E17" s="12"/>
      <c r="F17" s="24"/>
      <c r="G17" s="13"/>
      <c r="H17" s="9"/>
      <c r="I17" s="9"/>
      <c r="J17" s="9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10"/>
      <c r="C18" s="10"/>
      <c r="D18" s="12"/>
      <c r="E18" s="12"/>
      <c r="F18" s="24"/>
      <c r="G18" s="8"/>
      <c r="H18" s="9"/>
      <c r="I18" s="9"/>
      <c r="J18" s="9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10"/>
      <c r="C19" s="10"/>
      <c r="D19" s="12"/>
      <c r="E19" s="12"/>
      <c r="F19" s="10"/>
      <c r="G19" s="8"/>
      <c r="H19" s="9"/>
      <c r="I19" s="9"/>
      <c r="J19" s="9"/>
      <c r="K19" s="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5"/>
      <c r="C20" s="6"/>
      <c r="D20" s="7"/>
      <c r="E20" s="7"/>
      <c r="F20" s="5"/>
      <c r="G20" s="13"/>
      <c r="H20" s="9"/>
      <c r="I20" s="9"/>
      <c r="J20" s="9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5"/>
      <c r="C21" s="5"/>
      <c r="D21" s="7"/>
      <c r="E21" s="7"/>
      <c r="F21" s="5"/>
      <c r="G21" s="8"/>
      <c r="H21" s="9"/>
      <c r="I21" s="9"/>
      <c r="J21" s="9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10"/>
      <c r="C22" s="11"/>
      <c r="D22" s="12"/>
      <c r="E22" s="12"/>
      <c r="F22" s="10"/>
      <c r="G22" s="13"/>
      <c r="H22" s="9"/>
      <c r="I22" s="9"/>
      <c r="J22" s="9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10"/>
      <c r="C23" s="10"/>
      <c r="D23" s="12"/>
      <c r="E23" s="12"/>
      <c r="F23" s="10"/>
      <c r="G23" s="8"/>
      <c r="H23" s="9"/>
      <c r="I23" s="9"/>
      <c r="J23" s="9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5"/>
      <c r="C24" s="6"/>
      <c r="D24" s="7"/>
      <c r="E24" s="7"/>
      <c r="F24" s="5"/>
      <c r="G24" s="13"/>
      <c r="H24" s="9"/>
      <c r="I24" s="9"/>
      <c r="J24" s="9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5"/>
      <c r="C25" s="5"/>
      <c r="D25" s="7"/>
      <c r="E25" s="7"/>
      <c r="F25" s="5"/>
      <c r="G25" s="8"/>
      <c r="H25" s="9"/>
      <c r="I25" s="9"/>
      <c r="J25" s="9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10"/>
      <c r="C26" s="11"/>
      <c r="D26" s="12"/>
      <c r="E26" s="12"/>
      <c r="F26" s="10"/>
      <c r="G26" s="13"/>
      <c r="H26" s="9"/>
      <c r="I26" s="9"/>
      <c r="J26" s="9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10"/>
      <c r="C27" s="10"/>
      <c r="D27" s="12"/>
      <c r="E27" s="12"/>
      <c r="F27" s="10"/>
      <c r="G27" s="8"/>
      <c r="H27" s="9"/>
      <c r="I27" s="9"/>
      <c r="J27" s="9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10"/>
      <c r="C28" s="10"/>
      <c r="D28" s="12"/>
      <c r="E28" s="12"/>
      <c r="F28" s="10"/>
      <c r="G28" s="8"/>
      <c r="H28" s="9"/>
      <c r="I28" s="9"/>
      <c r="J28" s="9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5"/>
      <c r="C29" s="6"/>
      <c r="D29" s="7"/>
      <c r="E29" s="7"/>
      <c r="F29" s="5"/>
      <c r="G29" s="13"/>
      <c r="H29" s="9"/>
      <c r="I29" s="9"/>
      <c r="J29" s="9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5"/>
      <c r="C30" s="5"/>
      <c r="D30" s="7"/>
      <c r="E30" s="7"/>
      <c r="F30" s="5"/>
      <c r="G30" s="8"/>
      <c r="H30" s="9"/>
      <c r="I30" s="9"/>
      <c r="J30" s="9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5"/>
      <c r="C31" s="5"/>
      <c r="D31" s="7"/>
      <c r="E31" s="7"/>
      <c r="F31" s="5"/>
      <c r="G31" s="8"/>
      <c r="H31" s="9"/>
      <c r="I31" s="9"/>
      <c r="J31" s="9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>
      <c r="A32" s="2"/>
      <c r="B32" s="5"/>
      <c r="C32" s="5"/>
      <c r="D32" s="7"/>
      <c r="E32" s="7"/>
      <c r="F32" s="5"/>
      <c r="G32" s="8"/>
      <c r="H32" s="9"/>
      <c r="I32" s="9"/>
      <c r="J32" s="9"/>
      <c r="K32" s="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>
      <c r="A33" s="2"/>
      <c r="B33" s="5"/>
      <c r="C33" s="5"/>
      <c r="D33" s="7"/>
      <c r="E33" s="7"/>
      <c r="F33" s="5"/>
      <c r="G33" s="8"/>
      <c r="H33" s="9"/>
      <c r="I33" s="9"/>
      <c r="J33" s="9"/>
      <c r="K33" s="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>
      <c r="A34" s="2"/>
      <c r="B34" s="10"/>
      <c r="C34" s="11"/>
      <c r="D34" s="12"/>
      <c r="E34" s="12"/>
      <c r="F34" s="10"/>
      <c r="G34" s="13"/>
      <c r="H34" s="9"/>
      <c r="I34" s="9"/>
      <c r="J34" s="9"/>
      <c r="K34" s="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>
      <c r="A35" s="2"/>
      <c r="B35" s="10"/>
      <c r="C35" s="10"/>
      <c r="D35" s="12"/>
      <c r="E35" s="12"/>
      <c r="F35" s="10"/>
      <c r="G35" s="8"/>
      <c r="H35" s="9"/>
      <c r="I35" s="9"/>
      <c r="J35" s="9"/>
      <c r="K35" s="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>
      <c r="A36" s="2"/>
      <c r="B36" s="5"/>
      <c r="C36" s="6"/>
      <c r="D36" s="7"/>
      <c r="E36" s="7"/>
      <c r="F36" s="5"/>
      <c r="G36" s="13"/>
      <c r="H36" s="9"/>
      <c r="I36" s="9"/>
      <c r="J36" s="9"/>
      <c r="K36" s="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>
      <c r="A37" s="2"/>
      <c r="B37" s="5"/>
      <c r="C37" s="5"/>
      <c r="D37" s="7"/>
      <c r="E37" s="7"/>
      <c r="F37" s="5"/>
      <c r="G37" s="8"/>
      <c r="H37" s="9"/>
      <c r="I37" s="9"/>
      <c r="J37" s="9"/>
      <c r="K37" s="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2"/>
      <c r="B38" s="10"/>
      <c r="C38" s="11"/>
      <c r="D38" s="12"/>
      <c r="E38" s="12"/>
      <c r="F38" s="10"/>
      <c r="G38" s="13"/>
      <c r="H38" s="9"/>
      <c r="I38" s="9"/>
      <c r="J38" s="9"/>
      <c r="K38" s="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2"/>
      <c r="B39" s="10"/>
      <c r="C39" s="10"/>
      <c r="D39" s="12"/>
      <c r="E39" s="12"/>
      <c r="F39" s="10"/>
      <c r="G39" s="8"/>
      <c r="H39" s="9"/>
      <c r="I39" s="9"/>
      <c r="J39" s="9"/>
      <c r="K39" s="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2"/>
      <c r="B40" s="5"/>
      <c r="C40" s="6"/>
      <c r="D40" s="7"/>
      <c r="E40" s="7"/>
      <c r="F40" s="5"/>
      <c r="G40" s="13"/>
      <c r="H40" s="9"/>
      <c r="I40" s="9"/>
      <c r="J40" s="9"/>
      <c r="K40" s="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>
      <c r="A41" s="2"/>
      <c r="B41" s="5"/>
      <c r="C41" s="5"/>
      <c r="D41" s="7"/>
      <c r="E41" s="7"/>
      <c r="F41" s="5"/>
      <c r="G41" s="8"/>
      <c r="H41" s="9"/>
      <c r="I41" s="9"/>
      <c r="J41" s="9"/>
      <c r="K41" s="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>
      <c r="A42" s="2"/>
      <c r="B42" s="10"/>
      <c r="C42" s="11"/>
      <c r="D42" s="12"/>
      <c r="E42" s="12"/>
      <c r="F42" s="10"/>
      <c r="G42" s="13"/>
      <c r="H42" s="9"/>
      <c r="I42" s="9"/>
      <c r="J42" s="9"/>
      <c r="K42" s="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>
      <c r="A43" s="2"/>
      <c r="B43" s="10"/>
      <c r="C43" s="10"/>
      <c r="D43" s="12"/>
      <c r="E43" s="12"/>
      <c r="F43" s="10"/>
      <c r="G43" s="8"/>
      <c r="H43" s="9"/>
      <c r="I43" s="9"/>
      <c r="J43" s="9"/>
      <c r="K43" s="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2"/>
      <c r="B44" s="5"/>
      <c r="C44" s="6"/>
      <c r="D44" s="7"/>
      <c r="E44" s="7"/>
      <c r="F44" s="5"/>
      <c r="G44" s="13"/>
      <c r="H44" s="9"/>
      <c r="I44" s="9"/>
      <c r="J44" s="9"/>
      <c r="K44" s="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2"/>
      <c r="B45" s="5"/>
      <c r="C45" s="5"/>
      <c r="D45" s="7"/>
      <c r="E45" s="7"/>
      <c r="F45" s="5"/>
      <c r="G45" s="8"/>
      <c r="H45" s="9"/>
      <c r="I45" s="9"/>
      <c r="J45" s="9"/>
      <c r="K45" s="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2"/>
      <c r="B46" s="5"/>
      <c r="C46" s="5"/>
      <c r="D46" s="7"/>
      <c r="E46" s="7"/>
      <c r="F46" s="5"/>
      <c r="G46" s="8"/>
      <c r="H46" s="9"/>
      <c r="I46" s="9"/>
      <c r="J46" s="9"/>
      <c r="K46" s="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>
      <c r="A47" s="2"/>
      <c r="B47" s="10"/>
      <c r="C47" s="11"/>
      <c r="D47" s="12"/>
      <c r="E47" s="12"/>
      <c r="F47" s="10"/>
      <c r="G47" s="13"/>
      <c r="H47" s="9"/>
      <c r="I47" s="9"/>
      <c r="J47" s="9"/>
      <c r="K47" s="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2"/>
      <c r="B48" s="10"/>
      <c r="C48" s="10"/>
      <c r="D48" s="12"/>
      <c r="E48" s="12"/>
      <c r="F48" s="10"/>
      <c r="G48" s="8"/>
      <c r="H48" s="9"/>
      <c r="I48" s="9"/>
      <c r="J48" s="9"/>
      <c r="K48" s="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2"/>
      <c r="B49" s="10"/>
      <c r="C49" s="10"/>
      <c r="D49" s="12"/>
      <c r="E49" s="12"/>
      <c r="F49" s="10"/>
      <c r="G49" s="8"/>
      <c r="H49" s="9"/>
      <c r="I49" s="9"/>
      <c r="J49" s="9"/>
      <c r="K49" s="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2"/>
      <c r="B50" s="5"/>
      <c r="C50" s="6"/>
      <c r="D50" s="7"/>
      <c r="E50" s="7"/>
      <c r="F50" s="5"/>
      <c r="G50" s="13"/>
      <c r="H50" s="9"/>
      <c r="I50" s="9"/>
      <c r="J50" s="9"/>
      <c r="K50" s="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>
      <c r="A51" s="2"/>
      <c r="B51" s="5"/>
      <c r="C51" s="5"/>
      <c r="D51" s="7"/>
      <c r="E51" s="7"/>
      <c r="F51" s="5"/>
      <c r="G51" s="8"/>
      <c r="H51" s="9"/>
      <c r="I51" s="9"/>
      <c r="J51" s="9"/>
      <c r="K51" s="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>
      <c r="A52" s="2"/>
      <c r="B52" s="5"/>
      <c r="C52" s="5"/>
      <c r="D52" s="7"/>
      <c r="E52" s="7"/>
      <c r="F52" s="5"/>
      <c r="G52" s="8"/>
      <c r="H52" s="9"/>
      <c r="I52" s="9"/>
      <c r="J52" s="9"/>
      <c r="K52" s="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2"/>
      <c r="B53" s="10"/>
      <c r="C53" s="11"/>
      <c r="D53" s="12"/>
      <c r="E53" s="12"/>
      <c r="F53" s="10"/>
      <c r="G53" s="13"/>
      <c r="H53" s="9"/>
      <c r="I53" s="9"/>
      <c r="J53" s="9"/>
      <c r="K53" s="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2"/>
      <c r="B54" s="10"/>
      <c r="C54" s="10"/>
      <c r="D54" s="12"/>
      <c r="E54" s="12"/>
      <c r="F54" s="10"/>
      <c r="G54" s="8"/>
      <c r="H54" s="9"/>
      <c r="I54" s="9"/>
      <c r="J54" s="9"/>
      <c r="K54" s="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2"/>
      <c r="B55" s="5"/>
      <c r="C55" s="6"/>
      <c r="D55" s="7"/>
      <c r="E55" s="7"/>
      <c r="F55" s="5"/>
      <c r="G55" s="13"/>
      <c r="H55" s="9"/>
      <c r="I55" s="9"/>
      <c r="J55" s="9"/>
      <c r="K55" s="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2"/>
      <c r="B56" s="5"/>
      <c r="C56" s="5"/>
      <c r="D56" s="7"/>
      <c r="E56" s="7"/>
      <c r="F56" s="5"/>
      <c r="G56" s="8"/>
      <c r="H56" s="9"/>
      <c r="I56" s="9"/>
      <c r="J56" s="9"/>
      <c r="K56" s="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2"/>
      <c r="B57" s="5"/>
      <c r="C57" s="5"/>
      <c r="D57" s="7"/>
      <c r="E57" s="7"/>
      <c r="F57" s="5"/>
      <c r="G57" s="8"/>
      <c r="H57" s="9"/>
      <c r="I57" s="9"/>
      <c r="J57" s="9"/>
      <c r="K57" s="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2"/>
      <c r="B58" s="10"/>
      <c r="C58" s="11"/>
      <c r="D58" s="12"/>
      <c r="E58" s="12"/>
      <c r="F58" s="10"/>
      <c r="G58" s="13"/>
      <c r="H58" s="9"/>
      <c r="I58" s="9"/>
      <c r="J58" s="9"/>
      <c r="K58" s="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>
      <c r="A59" s="2"/>
      <c r="B59" s="10"/>
      <c r="C59" s="10"/>
      <c r="D59" s="12"/>
      <c r="E59" s="12"/>
      <c r="F59" s="10"/>
      <c r="G59" s="8"/>
      <c r="H59" s="9"/>
      <c r="I59" s="9"/>
      <c r="J59" s="9"/>
      <c r="K59" s="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2"/>
      <c r="B60" s="10"/>
      <c r="C60" s="10"/>
      <c r="D60" s="12"/>
      <c r="E60" s="12"/>
      <c r="F60" s="10"/>
      <c r="G60" s="8"/>
      <c r="H60" s="9"/>
      <c r="I60" s="9"/>
      <c r="J60" s="9"/>
      <c r="K60" s="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2"/>
      <c r="B61" s="10"/>
      <c r="C61" s="10"/>
      <c r="D61" s="12"/>
      <c r="E61" s="12"/>
      <c r="F61" s="10"/>
      <c r="G61" s="8"/>
      <c r="H61" s="9"/>
      <c r="I61" s="9"/>
      <c r="J61" s="9"/>
      <c r="K61" s="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2"/>
      <c r="B62" s="5"/>
      <c r="C62" s="6"/>
      <c r="D62" s="7"/>
      <c r="E62" s="7"/>
      <c r="F62" s="5"/>
      <c r="G62" s="13"/>
      <c r="H62" s="9"/>
      <c r="I62" s="9"/>
      <c r="J62" s="9"/>
      <c r="K62" s="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2"/>
      <c r="B63" s="5"/>
      <c r="C63" s="5"/>
      <c r="D63" s="7"/>
      <c r="E63" s="7"/>
      <c r="F63" s="5"/>
      <c r="G63" s="8"/>
      <c r="H63" s="9"/>
      <c r="I63" s="9"/>
      <c r="J63" s="9"/>
      <c r="K63" s="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2"/>
      <c r="B64" s="10"/>
      <c r="C64" s="11"/>
      <c r="D64" s="12"/>
      <c r="E64" s="12"/>
      <c r="F64" s="10"/>
      <c r="G64" s="13"/>
      <c r="H64" s="9"/>
      <c r="I64" s="9"/>
      <c r="J64" s="9"/>
      <c r="K64" s="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2"/>
      <c r="B65" s="10"/>
      <c r="C65" s="10"/>
      <c r="D65" s="12"/>
      <c r="E65" s="12"/>
      <c r="F65" s="10"/>
      <c r="G65" s="8"/>
      <c r="H65" s="9"/>
      <c r="I65" s="9"/>
      <c r="J65" s="9"/>
      <c r="K65" s="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>
      <c r="A66" s="2"/>
      <c r="B66" s="10"/>
      <c r="C66" s="10"/>
      <c r="D66" s="12"/>
      <c r="E66" s="12"/>
      <c r="F66" s="10"/>
      <c r="G66" s="8"/>
      <c r="H66" s="9"/>
      <c r="I66" s="9"/>
      <c r="J66" s="9"/>
      <c r="K66" s="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>
      <c r="A67" s="2"/>
      <c r="B67" s="10"/>
      <c r="C67" s="10"/>
      <c r="D67" s="12"/>
      <c r="E67" s="12"/>
      <c r="F67" s="10"/>
      <c r="G67" s="8"/>
      <c r="H67" s="9"/>
      <c r="I67" s="9"/>
      <c r="J67" s="9"/>
      <c r="K67" s="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>
      <c r="A68" s="2"/>
      <c r="B68" s="5"/>
      <c r="C68" s="6"/>
      <c r="D68" s="7"/>
      <c r="E68" s="7"/>
      <c r="F68" s="5"/>
      <c r="G68" s="13"/>
      <c r="H68" s="9"/>
      <c r="I68" s="9"/>
      <c r="J68" s="9"/>
      <c r="K68" s="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2"/>
      <c r="B69" s="5"/>
      <c r="C69" s="5"/>
      <c r="D69" s="7"/>
      <c r="E69" s="7"/>
      <c r="F69" s="5"/>
      <c r="G69" s="8"/>
      <c r="H69" s="9"/>
      <c r="I69" s="9"/>
      <c r="J69" s="9"/>
      <c r="K69" s="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>
      <c r="A70" s="2"/>
      <c r="B70" s="10"/>
      <c r="C70" s="11"/>
      <c r="D70" s="12"/>
      <c r="E70" s="12"/>
      <c r="F70" s="10"/>
      <c r="G70" s="13"/>
      <c r="H70" s="9"/>
      <c r="I70" s="9"/>
      <c r="J70" s="9"/>
      <c r="K70" s="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>
      <c r="A71" s="2"/>
      <c r="B71" s="10"/>
      <c r="C71" s="10"/>
      <c r="D71" s="12"/>
      <c r="E71" s="12"/>
      <c r="F71" s="10"/>
      <c r="G71" s="8"/>
      <c r="H71" s="9"/>
      <c r="I71" s="9"/>
      <c r="J71" s="9"/>
      <c r="K71" s="9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>
      <c r="A72" s="2"/>
      <c r="B72" s="5"/>
      <c r="C72" s="6"/>
      <c r="D72" s="7"/>
      <c r="E72" s="7"/>
      <c r="F72" s="5"/>
      <c r="G72" s="13"/>
      <c r="H72" s="9"/>
      <c r="I72" s="9"/>
      <c r="J72" s="9"/>
      <c r="K72" s="9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>
      <c r="A73" s="2"/>
      <c r="B73" s="5"/>
      <c r="C73" s="5"/>
      <c r="D73" s="7"/>
      <c r="E73" s="7"/>
      <c r="F73" s="5"/>
      <c r="G73" s="8"/>
      <c r="H73" s="9"/>
      <c r="I73" s="9"/>
      <c r="J73" s="9"/>
      <c r="K73" s="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>
      <c r="A74" s="2"/>
      <c r="B74" s="10"/>
      <c r="C74" s="11"/>
      <c r="D74" s="12"/>
      <c r="E74" s="12"/>
      <c r="F74" s="10"/>
      <c r="G74" s="13"/>
      <c r="H74" s="9"/>
      <c r="I74" s="9"/>
      <c r="J74" s="9"/>
      <c r="K74" s="9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>
      <c r="A75" s="2"/>
      <c r="B75" s="10"/>
      <c r="C75" s="10"/>
      <c r="D75" s="12"/>
      <c r="E75" s="12"/>
      <c r="F75" s="10"/>
      <c r="G75" s="8"/>
      <c r="H75" s="9"/>
      <c r="I75" s="9"/>
      <c r="J75" s="9"/>
      <c r="K75" s="9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>
      <c r="A76" s="2"/>
      <c r="B76" s="10"/>
      <c r="C76" s="10"/>
      <c r="D76" s="12"/>
      <c r="E76" s="12"/>
      <c r="F76" s="10"/>
      <c r="G76" s="8"/>
      <c r="H76" s="9"/>
      <c r="I76" s="9"/>
      <c r="J76" s="9"/>
      <c r="K76" s="9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>
      <c r="A77" s="2"/>
      <c r="B77" s="5"/>
      <c r="C77" s="6"/>
      <c r="D77" s="7"/>
      <c r="E77" s="7"/>
      <c r="F77" s="5"/>
      <c r="G77" s="13"/>
      <c r="H77" s="9"/>
      <c r="I77" s="9"/>
      <c r="J77" s="9"/>
      <c r="K77" s="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>
      <c r="A78" s="2"/>
      <c r="B78" s="5"/>
      <c r="C78" s="5"/>
      <c r="D78" s="7"/>
      <c r="E78" s="7"/>
      <c r="F78" s="5"/>
      <c r="G78" s="8"/>
      <c r="H78" s="9"/>
      <c r="I78" s="9"/>
      <c r="J78" s="9"/>
      <c r="K78" s="9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>
      <c r="A79" s="2"/>
      <c r="B79" s="5"/>
      <c r="C79" s="5"/>
      <c r="D79" s="7"/>
      <c r="E79" s="7"/>
      <c r="F79" s="5"/>
      <c r="G79" s="8"/>
      <c r="H79" s="9"/>
      <c r="I79" s="9"/>
      <c r="J79" s="9"/>
      <c r="K79" s="9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>
      <c r="A80" s="2"/>
      <c r="B80" s="10"/>
      <c r="C80" s="11"/>
      <c r="D80" s="12"/>
      <c r="E80" s="12"/>
      <c r="F80" s="10"/>
      <c r="G80" s="13"/>
      <c r="H80" s="9"/>
      <c r="I80" s="9"/>
      <c r="J80" s="9"/>
      <c r="K80" s="9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>
      <c r="A81" s="2"/>
      <c r="B81" s="10"/>
      <c r="C81" s="10"/>
      <c r="D81" s="12"/>
      <c r="E81" s="12"/>
      <c r="F81" s="10"/>
      <c r="G81" s="8"/>
      <c r="H81" s="9"/>
      <c r="I81" s="9"/>
      <c r="J81" s="9"/>
      <c r="K81" s="9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>
      <c r="A82" s="2"/>
      <c r="B82" s="10"/>
      <c r="C82" s="10"/>
      <c r="D82" s="12"/>
      <c r="E82" s="12"/>
      <c r="F82" s="10"/>
      <c r="G82" s="8"/>
      <c r="H82" s="9"/>
      <c r="I82" s="9"/>
      <c r="J82" s="9"/>
      <c r="K82" s="9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>
      <c r="A83" s="2"/>
      <c r="B83" s="5"/>
      <c r="C83" s="6"/>
      <c r="D83" s="7"/>
      <c r="E83" s="7"/>
      <c r="F83" s="5"/>
      <c r="G83" s="13"/>
      <c r="H83" s="9"/>
      <c r="I83" s="9"/>
      <c r="J83" s="9"/>
      <c r="K83" s="9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>
      <c r="A84" s="2"/>
      <c r="B84" s="5"/>
      <c r="C84" s="5"/>
      <c r="D84" s="7"/>
      <c r="E84" s="7"/>
      <c r="F84" s="5"/>
      <c r="G84" s="8"/>
      <c r="H84" s="9"/>
      <c r="I84" s="9"/>
      <c r="J84" s="9"/>
      <c r="K84" s="9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2"/>
      <c r="B85" s="9"/>
      <c r="C85" s="9"/>
      <c r="D85" s="9"/>
      <c r="E85" s="9"/>
      <c r="F85" s="9"/>
      <c r="G85" s="9"/>
      <c r="H85" s="9"/>
      <c r="I85" s="9"/>
      <c r="J85" s="9"/>
      <c r="K85" s="9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2"/>
      <c r="B86" s="9"/>
      <c r="C86" s="9"/>
      <c r="D86" s="9"/>
      <c r="E86" s="9"/>
      <c r="F86" s="9"/>
      <c r="G86" s="9"/>
      <c r="H86" s="9"/>
      <c r="I86" s="9"/>
      <c r="J86" s="9"/>
      <c r="K86" s="9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2"/>
      <c r="B87" s="9"/>
      <c r="C87" s="9"/>
      <c r="D87" s="9"/>
      <c r="E87" s="9"/>
      <c r="F87" s="9"/>
      <c r="G87" s="9"/>
      <c r="H87" s="9"/>
      <c r="I87" s="9"/>
      <c r="J87" s="9"/>
      <c r="K87" s="9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2"/>
      <c r="B88" s="9"/>
      <c r="C88" s="9"/>
      <c r="D88" s="9"/>
      <c r="E88" s="9"/>
      <c r="F88" s="9"/>
      <c r="G88" s="9"/>
      <c r="H88" s="9"/>
      <c r="I88" s="9"/>
      <c r="J88" s="9"/>
      <c r="K88" s="9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2"/>
      <c r="B89" s="9"/>
      <c r="C89" s="9"/>
      <c r="D89" s="9"/>
      <c r="E89" s="9"/>
      <c r="F89" s="9"/>
      <c r="G89" s="9"/>
      <c r="H89" s="9"/>
      <c r="I89" s="9"/>
      <c r="J89" s="9"/>
      <c r="K89" s="9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2"/>
      <c r="B90" s="9"/>
      <c r="C90" s="9"/>
      <c r="D90" s="9"/>
      <c r="E90" s="9"/>
      <c r="F90" s="9"/>
      <c r="G90" s="9"/>
      <c r="H90" s="9"/>
      <c r="I90" s="9"/>
      <c r="J90" s="9"/>
      <c r="K90" s="9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2"/>
      <c r="B91" s="9"/>
      <c r="C91" s="9"/>
      <c r="D91" s="9"/>
      <c r="E91" s="9"/>
      <c r="F91" s="9"/>
      <c r="G91" s="9"/>
      <c r="H91" s="25"/>
      <c r="I91" s="9"/>
      <c r="J91" s="9"/>
      <c r="K91" s="9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2"/>
      <c r="B92" s="9"/>
      <c r="C92" s="9"/>
      <c r="D92" s="9"/>
      <c r="E92" s="9"/>
      <c r="F92" s="9"/>
      <c r="G92" s="9"/>
      <c r="H92" s="25"/>
      <c r="I92" s="9"/>
      <c r="J92" s="9"/>
      <c r="K92" s="9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mergeCells count="5">
    <mergeCell ref="B2:E4"/>
    <mergeCell ref="F2:G2"/>
    <mergeCell ref="H2:I2"/>
    <mergeCell ref="F3:G4"/>
    <mergeCell ref="H3:I4"/>
  </mergeCells>
  <dataValidations count="1">
    <dataValidation type="list" allowBlank="1" sqref="H8:H92">
      <formula1>"Nuevo,Contactado,En Negociación,Cerrado"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showGridLines="0" workbookViewId="0">
      <pane ySplit="7" topLeftCell="A8" activePane="bottomLeft" state="frozen"/>
      <selection pane="bottomLeft" activeCell="F24" sqref="F24"/>
    </sheetView>
  </sheetViews>
  <sheetFormatPr baseColWidth="10" defaultColWidth="12.5703125" defaultRowHeight="15.75" customHeight="1"/>
  <cols>
    <col min="1" max="1" width="2.7109375" customWidth="1"/>
    <col min="2" max="2" width="43" bestFit="1" customWidth="1"/>
    <col min="3" max="3" width="29.42578125" customWidth="1"/>
    <col min="4" max="4" width="37.85546875" customWidth="1"/>
    <col min="5" max="5" width="18.7109375" customWidth="1"/>
    <col min="6" max="6" width="35.140625" customWidth="1"/>
    <col min="7" max="7" width="28.28515625" customWidth="1"/>
    <col min="8" max="8" width="22.5703125" customWidth="1"/>
    <col min="9" max="9" width="15.140625" customWidth="1"/>
    <col min="10" max="10" width="18.85546875" customWidth="1"/>
    <col min="11" max="11" width="25.140625" customWidth="1"/>
  </cols>
  <sheetData>
    <row r="1" spans="1:26" ht="12.75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>
      <c r="A2" s="1"/>
      <c r="B2" s="26" t="s">
        <v>0</v>
      </c>
      <c r="C2" s="27"/>
      <c r="D2" s="27"/>
      <c r="E2" s="27"/>
      <c r="F2" s="28" t="s">
        <v>1</v>
      </c>
      <c r="G2" s="27"/>
      <c r="H2" s="28" t="s">
        <v>2</v>
      </c>
      <c r="I2" s="2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>
      <c r="A3" s="1"/>
      <c r="B3" s="27"/>
      <c r="C3" s="27"/>
      <c r="D3" s="27"/>
      <c r="E3" s="27"/>
      <c r="F3" s="29">
        <f>COUNTA(B8:B100)</f>
        <v>12</v>
      </c>
      <c r="G3" s="27"/>
      <c r="H3" s="29">
        <f>COUNTIF(H8:H100, "En Negociación")</f>
        <v>0</v>
      </c>
      <c r="I3" s="2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>
      <c r="A4" s="1"/>
      <c r="B4" s="27"/>
      <c r="C4" s="27"/>
      <c r="D4" s="27"/>
      <c r="E4" s="27"/>
      <c r="F4" s="27"/>
      <c r="G4" s="27"/>
      <c r="H4" s="27"/>
      <c r="I4" s="27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>
      <c r="A5" s="1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>
      <c r="A6" s="1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>
      <c r="A7" s="2"/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3" t="s">
        <v>8</v>
      </c>
      <c r="H7" s="4" t="s">
        <v>9</v>
      </c>
      <c r="I7" s="4" t="s">
        <v>10</v>
      </c>
      <c r="J7" s="4" t="s">
        <v>11</v>
      </c>
      <c r="K7" s="4" t="s">
        <v>12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14" t="s">
        <v>372</v>
      </c>
      <c r="C8" s="6"/>
      <c r="D8" s="7"/>
      <c r="E8" s="7"/>
      <c r="F8" s="5"/>
      <c r="G8" s="8" t="s">
        <v>394</v>
      </c>
      <c r="H8" s="9"/>
      <c r="I8" s="9"/>
      <c r="J8" s="9"/>
      <c r="K8" s="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14" t="s">
        <v>373</v>
      </c>
      <c r="C9" s="5"/>
      <c r="D9" s="7"/>
      <c r="E9" s="7"/>
      <c r="F9" s="5"/>
      <c r="G9" s="8"/>
      <c r="H9" s="9"/>
      <c r="I9" s="9"/>
      <c r="J9" s="9"/>
      <c r="K9" s="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14" t="s">
        <v>374</v>
      </c>
      <c r="C10" s="5"/>
      <c r="D10" s="7"/>
      <c r="E10" s="7"/>
      <c r="F10" s="5"/>
      <c r="G10" s="8"/>
      <c r="H10" s="9"/>
      <c r="I10" s="9"/>
      <c r="J10" s="9"/>
      <c r="K10" s="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14" t="s">
        <v>375</v>
      </c>
      <c r="C11" s="11"/>
      <c r="D11" s="12"/>
      <c r="E11" s="12"/>
      <c r="F11" s="10"/>
      <c r="G11" s="8"/>
      <c r="H11" s="9"/>
      <c r="I11" s="9"/>
      <c r="J11" s="9"/>
      <c r="K11" s="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14" t="s">
        <v>376</v>
      </c>
      <c r="C12" s="10"/>
      <c r="D12" s="12"/>
      <c r="E12" s="12"/>
      <c r="F12" s="10"/>
      <c r="G12" s="8"/>
      <c r="H12" s="9"/>
      <c r="I12" s="9"/>
      <c r="J12" s="9"/>
      <c r="K12" s="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14" t="s">
        <v>377</v>
      </c>
      <c r="C13" s="10"/>
      <c r="D13" s="12"/>
      <c r="E13" s="12"/>
      <c r="F13" s="10"/>
      <c r="G13" s="8"/>
      <c r="H13" s="9"/>
      <c r="I13" s="9"/>
      <c r="J13" s="9"/>
      <c r="K13" s="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14" t="s">
        <v>378</v>
      </c>
      <c r="C14" s="6"/>
      <c r="D14" s="7"/>
      <c r="E14" s="7"/>
      <c r="F14" s="5"/>
      <c r="G14" s="8"/>
      <c r="H14" s="9"/>
      <c r="I14" s="9"/>
      <c r="J14" s="9"/>
      <c r="K14" s="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14" t="s">
        <v>379</v>
      </c>
      <c r="C15" s="5"/>
      <c r="D15" s="7"/>
      <c r="E15" s="7"/>
      <c r="F15" s="5"/>
      <c r="G15" s="8"/>
      <c r="H15" s="9"/>
      <c r="I15" s="9"/>
      <c r="J15" s="9"/>
      <c r="K15" s="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>
      <c r="A16" s="2"/>
      <c r="B16" s="14" t="s">
        <v>380</v>
      </c>
      <c r="C16" s="14" t="s">
        <v>381</v>
      </c>
      <c r="D16" s="14" t="s">
        <v>382</v>
      </c>
      <c r="E16" s="7"/>
      <c r="F16" s="14" t="s">
        <v>383</v>
      </c>
      <c r="G16" s="14" t="s">
        <v>384</v>
      </c>
      <c r="H16" s="9"/>
      <c r="I16" s="9"/>
      <c r="J16" s="9"/>
      <c r="K16" s="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>
      <c r="A17" s="2"/>
      <c r="B17" s="14" t="s">
        <v>385</v>
      </c>
      <c r="C17" s="14" t="s">
        <v>386</v>
      </c>
      <c r="D17" s="14" t="s">
        <v>382</v>
      </c>
      <c r="E17" s="12"/>
      <c r="F17" s="14" t="s">
        <v>387</v>
      </c>
      <c r="G17" s="14" t="s">
        <v>388</v>
      </c>
      <c r="H17" s="9"/>
      <c r="I17" s="9"/>
      <c r="J17" s="9"/>
      <c r="K17" s="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>
      <c r="A18" s="2"/>
      <c r="B18" s="14" t="s">
        <v>389</v>
      </c>
      <c r="C18" s="14" t="s">
        <v>390</v>
      </c>
      <c r="D18" s="14" t="s">
        <v>391</v>
      </c>
      <c r="E18" s="12"/>
      <c r="F18" s="30" t="s">
        <v>398</v>
      </c>
      <c r="G18" s="14" t="s">
        <v>392</v>
      </c>
      <c r="H18" s="9"/>
      <c r="I18" s="9"/>
      <c r="J18" s="9"/>
      <c r="K18" s="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19" t="s">
        <v>395</v>
      </c>
      <c r="C19" s="10"/>
      <c r="D19" s="12"/>
      <c r="E19" s="12"/>
      <c r="F19" s="30" t="s">
        <v>397</v>
      </c>
      <c r="G19" t="s">
        <v>396</v>
      </c>
      <c r="H19" s="9"/>
      <c r="I19" s="9"/>
      <c r="J19" s="9"/>
      <c r="K19" s="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5"/>
      <c r="C20" s="14"/>
      <c r="D20" s="7"/>
      <c r="E20" s="7"/>
      <c r="F20" s="5"/>
      <c r="G20" s="13"/>
      <c r="H20" s="9"/>
      <c r="I20" s="9"/>
      <c r="J20" s="9"/>
      <c r="K20" s="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5"/>
      <c r="C21" s="14"/>
      <c r="D21" s="7"/>
      <c r="E21" s="7"/>
      <c r="F21" s="5"/>
      <c r="G21" s="8"/>
      <c r="H21" s="9"/>
      <c r="I21" s="9"/>
      <c r="J21" s="9"/>
      <c r="K21" s="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10"/>
      <c r="C22" s="14"/>
      <c r="D22" s="12"/>
      <c r="E22" s="12"/>
      <c r="F22" s="10"/>
      <c r="G22" s="13"/>
      <c r="H22" s="9"/>
      <c r="I22" s="9"/>
      <c r="J22" s="9"/>
      <c r="K22" s="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10"/>
      <c r="C23" s="10"/>
      <c r="D23" s="12"/>
      <c r="E23" s="12"/>
      <c r="F23" s="10"/>
      <c r="G23" s="8"/>
      <c r="H23" s="9"/>
      <c r="I23" s="9"/>
      <c r="J23" s="9"/>
      <c r="K23" s="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5"/>
      <c r="C24" s="6"/>
      <c r="D24" s="7"/>
      <c r="E24" s="7"/>
      <c r="F24" s="5"/>
      <c r="G24" s="13"/>
      <c r="H24" s="9"/>
      <c r="I24" s="9"/>
      <c r="J24" s="9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5"/>
      <c r="C25" s="5"/>
      <c r="D25" s="7"/>
      <c r="E25" s="7"/>
      <c r="F25" s="5"/>
      <c r="G25" s="8"/>
      <c r="H25" s="9"/>
      <c r="I25" s="9"/>
      <c r="J25" s="9"/>
      <c r="K25" s="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10"/>
      <c r="C26" s="11"/>
      <c r="D26" s="12"/>
      <c r="E26" s="12"/>
      <c r="F26" s="10"/>
      <c r="G26" s="13"/>
      <c r="H26" s="9"/>
      <c r="I26" s="9"/>
      <c r="J26" s="9"/>
      <c r="K26" s="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10"/>
      <c r="C27" s="10"/>
      <c r="D27" s="12"/>
      <c r="E27" s="12"/>
      <c r="F27" s="10"/>
      <c r="G27" s="8"/>
      <c r="H27" s="9"/>
      <c r="I27" s="9"/>
      <c r="J27" s="9"/>
      <c r="K27" s="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10"/>
      <c r="C28" s="10"/>
      <c r="D28" s="12"/>
      <c r="E28" s="12"/>
      <c r="F28" s="10"/>
      <c r="G28" s="8"/>
      <c r="H28" s="9"/>
      <c r="I28" s="9"/>
      <c r="J28" s="9"/>
      <c r="K28" s="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5"/>
      <c r="C29" s="6"/>
      <c r="D29" s="7"/>
      <c r="E29" s="7"/>
      <c r="F29" s="5"/>
      <c r="G29" s="13"/>
      <c r="H29" s="9"/>
      <c r="I29" s="9"/>
      <c r="J29" s="9"/>
      <c r="K29" s="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5"/>
      <c r="C30" s="5"/>
      <c r="D30" s="7"/>
      <c r="E30" s="7"/>
      <c r="F30" s="5"/>
      <c r="G30" s="8"/>
      <c r="H30" s="9"/>
      <c r="I30" s="9"/>
      <c r="J30" s="9"/>
      <c r="K30" s="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5"/>
      <c r="C31" s="5"/>
      <c r="D31" s="7"/>
      <c r="E31" s="7"/>
      <c r="F31" s="5"/>
      <c r="G31" s="8"/>
      <c r="H31" s="9"/>
      <c r="I31" s="9"/>
      <c r="J31" s="9"/>
      <c r="K31" s="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>
      <c r="A32" s="2"/>
      <c r="B32" s="5"/>
      <c r="C32" s="5"/>
      <c r="D32" s="7"/>
      <c r="E32" s="7"/>
      <c r="F32" s="5"/>
      <c r="G32" s="8"/>
      <c r="H32" s="9"/>
      <c r="I32" s="9"/>
      <c r="J32" s="9"/>
      <c r="K32" s="9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>
      <c r="A33" s="2"/>
      <c r="B33" s="5"/>
      <c r="C33" s="5"/>
      <c r="D33" s="7"/>
      <c r="E33" s="7"/>
      <c r="F33" s="5"/>
      <c r="G33" s="8"/>
      <c r="H33" s="9"/>
      <c r="I33" s="9"/>
      <c r="J33" s="9"/>
      <c r="K33" s="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>
      <c r="A34" s="2"/>
      <c r="B34" s="10"/>
      <c r="C34" s="11"/>
      <c r="D34" s="12"/>
      <c r="E34" s="12"/>
      <c r="F34" s="10"/>
      <c r="G34" s="13"/>
      <c r="H34" s="9"/>
      <c r="I34" s="9"/>
      <c r="J34" s="9"/>
      <c r="K34" s="9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>
      <c r="A35" s="2"/>
      <c r="B35" s="10"/>
      <c r="C35" s="10"/>
      <c r="D35" s="12"/>
      <c r="E35" s="12"/>
      <c r="F35" s="10"/>
      <c r="G35" s="8"/>
      <c r="H35" s="9"/>
      <c r="I35" s="9"/>
      <c r="J35" s="9"/>
      <c r="K35" s="9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>
      <c r="A36" s="2"/>
      <c r="B36" s="5"/>
      <c r="C36" s="6"/>
      <c r="D36" s="7"/>
      <c r="E36" s="7"/>
      <c r="F36" s="5"/>
      <c r="G36" s="13"/>
      <c r="H36" s="9"/>
      <c r="I36" s="9"/>
      <c r="J36" s="9"/>
      <c r="K36" s="9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>
      <c r="A37" s="2"/>
      <c r="B37" s="5"/>
      <c r="C37" s="5"/>
      <c r="D37" s="7"/>
      <c r="E37" s="7"/>
      <c r="F37" s="5"/>
      <c r="G37" s="8"/>
      <c r="H37" s="9"/>
      <c r="I37" s="9"/>
      <c r="J37" s="9"/>
      <c r="K37" s="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2"/>
      <c r="B38" s="10"/>
      <c r="C38" s="11"/>
      <c r="D38" s="12"/>
      <c r="E38" s="12"/>
      <c r="F38" s="10"/>
      <c r="G38" s="13"/>
      <c r="H38" s="9"/>
      <c r="I38" s="9"/>
      <c r="J38" s="9"/>
      <c r="K38" s="9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2"/>
      <c r="B39" s="10"/>
      <c r="C39" s="10"/>
      <c r="D39" s="12"/>
      <c r="E39" s="12"/>
      <c r="F39" s="10"/>
      <c r="G39" s="8"/>
      <c r="H39" s="9"/>
      <c r="I39" s="9"/>
      <c r="J39" s="9"/>
      <c r="K39" s="9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2"/>
      <c r="B40" s="5"/>
      <c r="C40" s="6"/>
      <c r="D40" s="7"/>
      <c r="E40" s="7"/>
      <c r="F40" s="5"/>
      <c r="G40" s="13"/>
      <c r="H40" s="9"/>
      <c r="I40" s="9"/>
      <c r="J40" s="9"/>
      <c r="K40" s="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>
      <c r="A41" s="2"/>
      <c r="B41" s="5"/>
      <c r="C41" s="5"/>
      <c r="D41" s="7"/>
      <c r="E41" s="7"/>
      <c r="F41" s="5"/>
      <c r="G41" s="8"/>
      <c r="H41" s="9"/>
      <c r="I41" s="9"/>
      <c r="J41" s="9"/>
      <c r="K41" s="9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>
      <c r="A42" s="2"/>
      <c r="B42" s="10"/>
      <c r="C42" s="11"/>
      <c r="D42" s="12"/>
      <c r="E42" s="12"/>
      <c r="F42" s="10"/>
      <c r="G42" s="13"/>
      <c r="H42" s="9"/>
      <c r="I42" s="9"/>
      <c r="J42" s="9"/>
      <c r="K42" s="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>
      <c r="A43" s="2"/>
      <c r="B43" s="10"/>
      <c r="C43" s="10"/>
      <c r="D43" s="12"/>
      <c r="E43" s="12"/>
      <c r="F43" s="10"/>
      <c r="G43" s="8"/>
      <c r="H43" s="9"/>
      <c r="I43" s="9"/>
      <c r="J43" s="9"/>
      <c r="K43" s="9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2"/>
      <c r="B44" s="5"/>
      <c r="C44" s="6"/>
      <c r="D44" s="7"/>
      <c r="E44" s="7"/>
      <c r="F44" s="5"/>
      <c r="G44" s="13"/>
      <c r="H44" s="9"/>
      <c r="I44" s="9"/>
      <c r="J44" s="9"/>
      <c r="K44" s="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>
      <c r="A45" s="2"/>
      <c r="B45" s="5"/>
      <c r="C45" s="5"/>
      <c r="D45" s="7"/>
      <c r="E45" s="7"/>
      <c r="F45" s="5"/>
      <c r="G45" s="8"/>
      <c r="H45" s="9"/>
      <c r="I45" s="9"/>
      <c r="J45" s="9"/>
      <c r="K45" s="9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2"/>
      <c r="B46" s="5"/>
      <c r="C46" s="5"/>
      <c r="D46" s="7"/>
      <c r="E46" s="7"/>
      <c r="F46" s="5"/>
      <c r="G46" s="8"/>
      <c r="H46" s="9"/>
      <c r="I46" s="9"/>
      <c r="J46" s="9"/>
      <c r="K46" s="9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>
      <c r="A47" s="2"/>
      <c r="B47" s="10"/>
      <c r="C47" s="11"/>
      <c r="D47" s="12"/>
      <c r="E47" s="12"/>
      <c r="F47" s="10"/>
      <c r="G47" s="13"/>
      <c r="H47" s="9"/>
      <c r="I47" s="9"/>
      <c r="J47" s="9"/>
      <c r="K47" s="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2"/>
      <c r="B48" s="10"/>
      <c r="C48" s="10"/>
      <c r="D48" s="12"/>
      <c r="E48" s="12"/>
      <c r="F48" s="10"/>
      <c r="G48" s="8"/>
      <c r="H48" s="9"/>
      <c r="I48" s="9"/>
      <c r="J48" s="9"/>
      <c r="K48" s="9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2"/>
      <c r="B49" s="10"/>
      <c r="C49" s="10"/>
      <c r="D49" s="12"/>
      <c r="E49" s="12"/>
      <c r="F49" s="10"/>
      <c r="G49" s="8"/>
      <c r="H49" s="9"/>
      <c r="I49" s="9"/>
      <c r="J49" s="9"/>
      <c r="K49" s="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2"/>
      <c r="B50" s="5"/>
      <c r="C50" s="6"/>
      <c r="D50" s="7"/>
      <c r="E50" s="7"/>
      <c r="F50" s="5"/>
      <c r="G50" s="13"/>
      <c r="H50" s="9"/>
      <c r="I50" s="9"/>
      <c r="J50" s="9"/>
      <c r="K50" s="9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>
      <c r="A51" s="2"/>
      <c r="B51" s="5"/>
      <c r="C51" s="5"/>
      <c r="D51" s="7"/>
      <c r="E51" s="7"/>
      <c r="F51" s="5"/>
      <c r="G51" s="8"/>
      <c r="H51" s="9"/>
      <c r="I51" s="9"/>
      <c r="J51" s="9"/>
      <c r="K51" s="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>
      <c r="A52" s="2"/>
      <c r="B52" s="5"/>
      <c r="C52" s="5"/>
      <c r="D52" s="7"/>
      <c r="E52" s="7"/>
      <c r="F52" s="5"/>
      <c r="G52" s="8"/>
      <c r="H52" s="9"/>
      <c r="I52" s="9"/>
      <c r="J52" s="9"/>
      <c r="K52" s="9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>
      <c r="A53" s="2"/>
      <c r="B53" s="10"/>
      <c r="C53" s="11"/>
      <c r="D53" s="12"/>
      <c r="E53" s="12"/>
      <c r="F53" s="10"/>
      <c r="G53" s="13"/>
      <c r="H53" s="9"/>
      <c r="I53" s="9"/>
      <c r="J53" s="9"/>
      <c r="K53" s="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>
      <c r="A54" s="2"/>
      <c r="B54" s="10"/>
      <c r="C54" s="10"/>
      <c r="D54" s="12"/>
      <c r="E54" s="12"/>
      <c r="F54" s="10"/>
      <c r="G54" s="8"/>
      <c r="H54" s="9"/>
      <c r="I54" s="9"/>
      <c r="J54" s="9"/>
      <c r="K54" s="9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>
      <c r="A55" s="2"/>
      <c r="B55" s="5"/>
      <c r="C55" s="6"/>
      <c r="D55" s="7"/>
      <c r="E55" s="7"/>
      <c r="F55" s="5"/>
      <c r="G55" s="13"/>
      <c r="H55" s="9"/>
      <c r="I55" s="9"/>
      <c r="J55" s="9"/>
      <c r="K55" s="9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>
      <c r="A56" s="2"/>
      <c r="B56" s="5"/>
      <c r="C56" s="5"/>
      <c r="D56" s="7"/>
      <c r="E56" s="7"/>
      <c r="F56" s="5"/>
      <c r="G56" s="8"/>
      <c r="H56" s="9"/>
      <c r="I56" s="9"/>
      <c r="J56" s="9"/>
      <c r="K56" s="9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2"/>
      <c r="B57" s="5"/>
      <c r="C57" s="5"/>
      <c r="D57" s="7"/>
      <c r="E57" s="7"/>
      <c r="F57" s="5"/>
      <c r="G57" s="8"/>
      <c r="H57" s="9"/>
      <c r="I57" s="9"/>
      <c r="J57" s="9"/>
      <c r="K57" s="9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>
      <c r="A58" s="2"/>
      <c r="B58" s="10"/>
      <c r="C58" s="11"/>
      <c r="D58" s="12"/>
      <c r="E58" s="12"/>
      <c r="F58" s="10"/>
      <c r="G58" s="13"/>
      <c r="H58" s="9"/>
      <c r="I58" s="9"/>
      <c r="J58" s="9"/>
      <c r="K58" s="9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>
      <c r="A59" s="2"/>
      <c r="B59" s="10"/>
      <c r="C59" s="10"/>
      <c r="D59" s="12"/>
      <c r="E59" s="12"/>
      <c r="F59" s="10"/>
      <c r="G59" s="8"/>
      <c r="H59" s="9"/>
      <c r="I59" s="9"/>
      <c r="J59" s="9"/>
      <c r="K59" s="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>
      <c r="A60" s="2"/>
      <c r="B60" s="10"/>
      <c r="C60" s="10"/>
      <c r="D60" s="12"/>
      <c r="E60" s="12"/>
      <c r="F60" s="10"/>
      <c r="G60" s="8"/>
      <c r="H60" s="9"/>
      <c r="I60" s="9"/>
      <c r="J60" s="9"/>
      <c r="K60" s="9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>
      <c r="A61" s="2"/>
      <c r="B61" s="10"/>
      <c r="C61" s="10"/>
      <c r="D61" s="12"/>
      <c r="E61" s="12"/>
      <c r="F61" s="10"/>
      <c r="G61" s="8"/>
      <c r="H61" s="9"/>
      <c r="I61" s="9"/>
      <c r="J61" s="9"/>
      <c r="K61" s="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>
      <c r="A62" s="2"/>
      <c r="B62" s="5"/>
      <c r="C62" s="6"/>
      <c r="D62" s="7"/>
      <c r="E62" s="7"/>
      <c r="F62" s="5"/>
      <c r="G62" s="13"/>
      <c r="H62" s="9"/>
      <c r="I62" s="9"/>
      <c r="J62" s="9"/>
      <c r="K62" s="9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2"/>
      <c r="B63" s="5"/>
      <c r="C63" s="5"/>
      <c r="D63" s="7"/>
      <c r="E63" s="7"/>
      <c r="F63" s="5"/>
      <c r="G63" s="8"/>
      <c r="H63" s="9"/>
      <c r="I63" s="9"/>
      <c r="J63" s="9"/>
      <c r="K63" s="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>
      <c r="A64" s="2"/>
      <c r="B64" s="10"/>
      <c r="C64" s="11"/>
      <c r="D64" s="12"/>
      <c r="E64" s="12"/>
      <c r="F64" s="10"/>
      <c r="G64" s="13"/>
      <c r="H64" s="9"/>
      <c r="I64" s="9"/>
      <c r="J64" s="9"/>
      <c r="K64" s="9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2"/>
      <c r="B65" s="10"/>
      <c r="C65" s="10"/>
      <c r="D65" s="12"/>
      <c r="E65" s="12"/>
      <c r="F65" s="10"/>
      <c r="G65" s="8"/>
      <c r="H65" s="9"/>
      <c r="I65" s="9"/>
      <c r="J65" s="9"/>
      <c r="K65" s="9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>
      <c r="A66" s="2"/>
      <c r="B66" s="10"/>
      <c r="C66" s="10"/>
      <c r="D66" s="12"/>
      <c r="E66" s="12"/>
      <c r="F66" s="10"/>
      <c r="G66" s="8"/>
      <c r="H66" s="9"/>
      <c r="I66" s="9"/>
      <c r="J66" s="9"/>
      <c r="K66" s="9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>
      <c r="A67" s="2"/>
      <c r="B67" s="10"/>
      <c r="C67" s="10"/>
      <c r="D67" s="12"/>
      <c r="E67" s="12"/>
      <c r="F67" s="10"/>
      <c r="G67" s="8"/>
      <c r="H67" s="9"/>
      <c r="I67" s="9"/>
      <c r="J67" s="9"/>
      <c r="K67" s="9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>
      <c r="A68" s="2"/>
      <c r="B68" s="5"/>
      <c r="C68" s="6"/>
      <c r="D68" s="7"/>
      <c r="E68" s="7"/>
      <c r="F68" s="5"/>
      <c r="G68" s="13"/>
      <c r="H68" s="9"/>
      <c r="I68" s="9"/>
      <c r="J68" s="9"/>
      <c r="K68" s="9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2"/>
      <c r="B69" s="5"/>
      <c r="C69" s="5"/>
      <c r="D69" s="7"/>
      <c r="E69" s="7"/>
      <c r="F69" s="5"/>
      <c r="G69" s="8"/>
      <c r="H69" s="9"/>
      <c r="I69" s="9"/>
      <c r="J69" s="9"/>
      <c r="K69" s="9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>
      <c r="A70" s="2"/>
      <c r="B70" s="10"/>
      <c r="C70" s="11"/>
      <c r="D70" s="12"/>
      <c r="E70" s="12"/>
      <c r="F70" s="10"/>
      <c r="G70" s="13"/>
      <c r="H70" s="9"/>
      <c r="I70" s="9"/>
      <c r="J70" s="9"/>
      <c r="K70" s="9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>
      <c r="A71" s="2"/>
      <c r="B71" s="10"/>
      <c r="C71" s="10"/>
      <c r="D71" s="12"/>
      <c r="E71" s="12"/>
      <c r="F71" s="10"/>
      <c r="G71" s="8"/>
      <c r="H71" s="9"/>
      <c r="I71" s="9"/>
      <c r="J71" s="9"/>
      <c r="K71" s="9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>
      <c r="A72" s="2"/>
      <c r="B72" s="5"/>
      <c r="C72" s="6"/>
      <c r="D72" s="7"/>
      <c r="E72" s="7"/>
      <c r="F72" s="5"/>
      <c r="G72" s="13"/>
      <c r="H72" s="9"/>
      <c r="I72" s="9"/>
      <c r="J72" s="9"/>
      <c r="K72" s="9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>
      <c r="A73" s="2"/>
      <c r="B73" s="5"/>
      <c r="C73" s="5"/>
      <c r="D73" s="7"/>
      <c r="E73" s="7"/>
      <c r="F73" s="5"/>
      <c r="G73" s="8"/>
      <c r="H73" s="9"/>
      <c r="I73" s="9"/>
      <c r="J73" s="9"/>
      <c r="K73" s="9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>
      <c r="A74" s="2"/>
      <c r="B74" s="10"/>
      <c r="C74" s="11"/>
      <c r="D74" s="12"/>
      <c r="E74" s="12"/>
      <c r="F74" s="10"/>
      <c r="G74" s="13"/>
      <c r="H74" s="9"/>
      <c r="I74" s="9"/>
      <c r="J74" s="9"/>
      <c r="K74" s="9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>
      <c r="A75" s="2"/>
      <c r="B75" s="10"/>
      <c r="C75" s="10"/>
      <c r="D75" s="12"/>
      <c r="E75" s="12"/>
      <c r="F75" s="10"/>
      <c r="G75" s="8"/>
      <c r="H75" s="9"/>
      <c r="I75" s="9"/>
      <c r="J75" s="9"/>
      <c r="K75" s="9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>
      <c r="A76" s="2"/>
      <c r="B76" s="10"/>
      <c r="C76" s="10"/>
      <c r="D76" s="12"/>
      <c r="E76" s="12"/>
      <c r="F76" s="10"/>
      <c r="G76" s="8"/>
      <c r="H76" s="9"/>
      <c r="I76" s="9"/>
      <c r="J76" s="9"/>
      <c r="K76" s="9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>
      <c r="A77" s="2"/>
      <c r="B77" s="5"/>
      <c r="C77" s="6"/>
      <c r="D77" s="7"/>
      <c r="E77" s="7"/>
      <c r="F77" s="5"/>
      <c r="G77" s="13"/>
      <c r="H77" s="9"/>
      <c r="I77" s="9"/>
      <c r="J77" s="9"/>
      <c r="K77" s="9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>
      <c r="A78" s="2"/>
      <c r="B78" s="5"/>
      <c r="C78" s="5"/>
      <c r="D78" s="7"/>
      <c r="E78" s="7"/>
      <c r="F78" s="5"/>
      <c r="G78" s="8"/>
      <c r="H78" s="9"/>
      <c r="I78" s="9"/>
      <c r="J78" s="9"/>
      <c r="K78" s="9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>
      <c r="A79" s="2"/>
      <c r="B79" s="5"/>
      <c r="C79" s="5"/>
      <c r="D79" s="7"/>
      <c r="E79" s="7"/>
      <c r="F79" s="5"/>
      <c r="G79" s="8"/>
      <c r="H79" s="9"/>
      <c r="I79" s="9"/>
      <c r="J79" s="9"/>
      <c r="K79" s="9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>
      <c r="A80" s="2"/>
      <c r="B80" s="10"/>
      <c r="C80" s="11"/>
      <c r="D80" s="12"/>
      <c r="E80" s="12"/>
      <c r="F80" s="10"/>
      <c r="G80" s="13"/>
      <c r="H80" s="9"/>
      <c r="I80" s="9"/>
      <c r="J80" s="9"/>
      <c r="K80" s="9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>
      <c r="A81" s="2"/>
      <c r="B81" s="10"/>
      <c r="C81" s="10"/>
      <c r="D81" s="12"/>
      <c r="E81" s="12"/>
      <c r="F81" s="10"/>
      <c r="G81" s="8"/>
      <c r="H81" s="9"/>
      <c r="I81" s="9"/>
      <c r="J81" s="9"/>
      <c r="K81" s="9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>
      <c r="A82" s="2"/>
      <c r="B82" s="10"/>
      <c r="C82" s="10"/>
      <c r="D82" s="12"/>
      <c r="E82" s="12"/>
      <c r="F82" s="10"/>
      <c r="G82" s="8"/>
      <c r="H82" s="9"/>
      <c r="I82" s="9"/>
      <c r="J82" s="9"/>
      <c r="K82" s="9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>
      <c r="A83" s="2"/>
      <c r="B83" s="5"/>
      <c r="C83" s="6"/>
      <c r="D83" s="7"/>
      <c r="E83" s="7"/>
      <c r="F83" s="5"/>
      <c r="G83" s="13"/>
      <c r="H83" s="9"/>
      <c r="I83" s="9"/>
      <c r="J83" s="9"/>
      <c r="K83" s="9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>
      <c r="A84" s="2"/>
      <c r="B84" s="5"/>
      <c r="C84" s="5"/>
      <c r="D84" s="7"/>
      <c r="E84" s="7"/>
      <c r="F84" s="5"/>
      <c r="G84" s="8"/>
      <c r="H84" s="9"/>
      <c r="I84" s="9"/>
      <c r="J84" s="9"/>
      <c r="K84" s="9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2"/>
      <c r="B85" s="9"/>
      <c r="C85" s="9"/>
      <c r="D85" s="9"/>
      <c r="E85" s="9"/>
      <c r="F85" s="9"/>
      <c r="G85" s="9"/>
      <c r="H85" s="9"/>
      <c r="I85" s="9"/>
      <c r="J85" s="9"/>
      <c r="K85" s="9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2"/>
      <c r="B86" s="9"/>
      <c r="C86" s="9"/>
      <c r="D86" s="9"/>
      <c r="E86" s="9"/>
      <c r="F86" s="9"/>
      <c r="G86" s="9"/>
      <c r="H86" s="9"/>
      <c r="I86" s="9"/>
      <c r="J86" s="9"/>
      <c r="K86" s="9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2"/>
      <c r="B87" s="9"/>
      <c r="C87" s="9"/>
      <c r="D87" s="9"/>
      <c r="E87" s="9"/>
      <c r="F87" s="9"/>
      <c r="G87" s="9"/>
      <c r="H87" s="9"/>
      <c r="I87" s="9"/>
      <c r="J87" s="9"/>
      <c r="K87" s="9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2"/>
      <c r="B88" s="9"/>
      <c r="C88" s="9"/>
      <c r="D88" s="9"/>
      <c r="E88" s="9"/>
      <c r="F88" s="9"/>
      <c r="G88" s="9"/>
      <c r="H88" s="9"/>
      <c r="I88" s="9"/>
      <c r="J88" s="9"/>
      <c r="K88" s="9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2"/>
      <c r="B89" s="9"/>
      <c r="C89" s="9"/>
      <c r="D89" s="9"/>
      <c r="E89" s="9"/>
      <c r="F89" s="9"/>
      <c r="G89" s="9"/>
      <c r="H89" s="9"/>
      <c r="I89" s="9"/>
      <c r="J89" s="9"/>
      <c r="K89" s="9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2"/>
      <c r="B90" s="9"/>
      <c r="C90" s="9"/>
      <c r="D90" s="9"/>
      <c r="E90" s="9"/>
      <c r="F90" s="9"/>
      <c r="G90" s="9"/>
      <c r="H90" s="9"/>
      <c r="I90" s="9"/>
      <c r="J90" s="9"/>
      <c r="K90" s="9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2"/>
      <c r="B91" s="9"/>
      <c r="C91" s="9"/>
      <c r="D91" s="9"/>
      <c r="E91" s="9"/>
      <c r="F91" s="9"/>
      <c r="G91" s="9"/>
      <c r="H91" s="9"/>
      <c r="I91" s="9"/>
      <c r="J91" s="9"/>
      <c r="K91" s="9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2"/>
      <c r="B92" s="9"/>
      <c r="C92" s="9"/>
      <c r="D92" s="9"/>
      <c r="E92" s="9"/>
      <c r="F92" s="9"/>
      <c r="G92" s="9"/>
      <c r="H92" s="9"/>
      <c r="I92" s="9"/>
      <c r="J92" s="9"/>
      <c r="K92" s="9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2"/>
      <c r="B93" s="9"/>
      <c r="C93" s="9"/>
      <c r="D93" s="9"/>
      <c r="E93" s="9"/>
      <c r="F93" s="9"/>
      <c r="G93" s="9"/>
      <c r="H93" s="9"/>
      <c r="I93" s="9"/>
      <c r="J93" s="9"/>
      <c r="K93" s="9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2"/>
      <c r="B94" s="9"/>
      <c r="C94" s="9"/>
      <c r="D94" s="9"/>
      <c r="E94" s="9"/>
      <c r="F94" s="9"/>
      <c r="G94" s="9"/>
      <c r="H94" s="9"/>
      <c r="I94" s="9"/>
      <c r="J94" s="9"/>
      <c r="K94" s="9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/>
      <c r="B95" s="9"/>
      <c r="C95" s="9"/>
      <c r="D95" s="9"/>
      <c r="E95" s="9"/>
      <c r="F95" s="9"/>
      <c r="G95" s="9"/>
      <c r="H95" s="9"/>
      <c r="I95" s="9"/>
      <c r="J95" s="9"/>
      <c r="K95" s="9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2"/>
      <c r="B96" s="9"/>
      <c r="C96" s="9"/>
      <c r="D96" s="9"/>
      <c r="E96" s="9"/>
      <c r="F96" s="9"/>
      <c r="G96" s="9"/>
      <c r="H96" s="9"/>
      <c r="I96" s="9"/>
      <c r="J96" s="9"/>
      <c r="K96" s="9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/>
      <c r="B97" s="9"/>
      <c r="C97" s="9"/>
      <c r="D97" s="9"/>
      <c r="E97" s="9"/>
      <c r="F97" s="9"/>
      <c r="G97" s="9"/>
      <c r="H97" s="9"/>
      <c r="I97" s="9"/>
      <c r="J97" s="9"/>
      <c r="K97" s="9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/>
      <c r="B98" s="9"/>
      <c r="C98" s="9"/>
      <c r="D98" s="9"/>
      <c r="E98" s="9"/>
      <c r="F98" s="9"/>
      <c r="G98" s="9"/>
      <c r="H98" s="9"/>
      <c r="I98" s="9"/>
      <c r="J98" s="9"/>
      <c r="K98" s="9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2"/>
      <c r="B99" s="9"/>
      <c r="C99" s="9"/>
      <c r="D99" s="9"/>
      <c r="E99" s="9"/>
      <c r="F99" s="9"/>
      <c r="G99" s="9"/>
      <c r="H99" s="9"/>
      <c r="I99" s="9"/>
      <c r="J99" s="9"/>
      <c r="K99" s="9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2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B2:E4"/>
    <mergeCell ref="F2:G2"/>
    <mergeCell ref="H2:I2"/>
    <mergeCell ref="F3:G4"/>
    <mergeCell ref="H3:I4"/>
  </mergeCells>
  <dataValidations count="1">
    <dataValidation type="list" allowBlank="1" sqref="H8:H100">
      <formula1>"Nuevo,Contactado,En Negociación,Cerrado"</formula1>
    </dataValidation>
  </dataValidations>
  <hyperlinks>
    <hyperlink ref="F19" r:id="rId1"/>
    <hyperlink ref="F18" r:id="rId2"/>
  </hyperlinks>
  <pageMargins left="0.7" right="0.7" top="0.75" bottom="0.75" header="0.3" footer="0.3"/>
  <pageSetup orientation="portrait"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8"/>
  <sheetViews>
    <sheetView topLeftCell="A46" workbookViewId="0">
      <selection activeCell="A46" sqref="A1:XFD1048576"/>
    </sheetView>
  </sheetViews>
  <sheetFormatPr baseColWidth="10" defaultRowHeight="12.75"/>
  <sheetData>
    <row r="1" spans="1:1">
      <c r="A1" t="s">
        <v>399</v>
      </c>
    </row>
    <row r="2" spans="1:1">
      <c r="A2" t="s">
        <v>400</v>
      </c>
    </row>
    <row r="3" spans="1:1">
      <c r="A3" t="s">
        <v>401</v>
      </c>
    </row>
    <row r="4" spans="1:1">
      <c r="A4" t="s">
        <v>402</v>
      </c>
    </row>
    <row r="5" spans="1:1">
      <c r="A5" t="s">
        <v>403</v>
      </c>
    </row>
    <row r="6" spans="1:1">
      <c r="A6" t="s">
        <v>404</v>
      </c>
    </row>
    <row r="7" spans="1:1">
      <c r="A7" t="s">
        <v>405</v>
      </c>
    </row>
    <row r="8" spans="1:1">
      <c r="A8" t="s">
        <v>406</v>
      </c>
    </row>
    <row r="9" spans="1:1">
      <c r="A9" t="s">
        <v>407</v>
      </c>
    </row>
    <row r="10" spans="1:1">
      <c r="A10" t="s">
        <v>408</v>
      </c>
    </row>
    <row r="11" spans="1:1">
      <c r="A11" t="s">
        <v>409</v>
      </c>
    </row>
    <row r="12" spans="1:1">
      <c r="A12" t="s">
        <v>410</v>
      </c>
    </row>
    <row r="13" spans="1:1">
      <c r="A13" t="s">
        <v>411</v>
      </c>
    </row>
    <row r="14" spans="1:1">
      <c r="A14" t="s">
        <v>412</v>
      </c>
    </row>
    <row r="15" spans="1:1">
      <c r="A15" t="s">
        <v>413</v>
      </c>
    </row>
    <row r="16" spans="1:1">
      <c r="A16" t="s">
        <v>414</v>
      </c>
    </row>
    <row r="17" spans="1:1">
      <c r="A17" t="s">
        <v>415</v>
      </c>
    </row>
    <row r="18" spans="1:1">
      <c r="A18" t="s">
        <v>416</v>
      </c>
    </row>
    <row r="19" spans="1:1">
      <c r="A19" t="s">
        <v>417</v>
      </c>
    </row>
    <row r="20" spans="1:1">
      <c r="A20" t="s">
        <v>418</v>
      </c>
    </row>
    <row r="21" spans="1:1">
      <c r="A21" t="s">
        <v>419</v>
      </c>
    </row>
    <row r="22" spans="1:1">
      <c r="A22" t="s">
        <v>420</v>
      </c>
    </row>
    <row r="23" spans="1:1">
      <c r="A23" t="s">
        <v>421</v>
      </c>
    </row>
    <row r="24" spans="1:1">
      <c r="A24" t="s">
        <v>422</v>
      </c>
    </row>
    <row r="25" spans="1:1">
      <c r="A25" t="s">
        <v>423</v>
      </c>
    </row>
    <row r="26" spans="1:1">
      <c r="A26" t="s">
        <v>424</v>
      </c>
    </row>
    <row r="27" spans="1:1">
      <c r="A27" t="s">
        <v>425</v>
      </c>
    </row>
    <row r="28" spans="1:1">
      <c r="A28" t="s">
        <v>426</v>
      </c>
    </row>
    <row r="29" spans="1:1">
      <c r="A29" t="s">
        <v>427</v>
      </c>
    </row>
    <row r="30" spans="1:1">
      <c r="A30" t="s">
        <v>428</v>
      </c>
    </row>
    <row r="31" spans="1:1">
      <c r="A31" t="s">
        <v>429</v>
      </c>
    </row>
    <row r="32" spans="1:1">
      <c r="A32" t="s">
        <v>430</v>
      </c>
    </row>
    <row r="33" spans="1:1">
      <c r="A33" t="s">
        <v>431</v>
      </c>
    </row>
    <row r="34" spans="1:1">
      <c r="A34" t="s">
        <v>432</v>
      </c>
    </row>
    <row r="35" spans="1:1">
      <c r="A35" t="s">
        <v>433</v>
      </c>
    </row>
    <row r="36" spans="1:1">
      <c r="A36" t="s">
        <v>434</v>
      </c>
    </row>
    <row r="37" spans="1:1">
      <c r="A37" t="s">
        <v>435</v>
      </c>
    </row>
    <row r="38" spans="1:1">
      <c r="A38" t="s">
        <v>436</v>
      </c>
    </row>
    <row r="39" spans="1:1">
      <c r="A39" t="s">
        <v>437</v>
      </c>
    </row>
    <row r="40" spans="1:1">
      <c r="A40" t="s">
        <v>438</v>
      </c>
    </row>
    <row r="41" spans="1:1">
      <c r="A41" t="s">
        <v>439</v>
      </c>
    </row>
    <row r="42" spans="1:1">
      <c r="A42" t="s">
        <v>440</v>
      </c>
    </row>
    <row r="43" spans="1:1">
      <c r="A43" t="s">
        <v>441</v>
      </c>
    </row>
    <row r="44" spans="1:1">
      <c r="A44" t="s">
        <v>442</v>
      </c>
    </row>
    <row r="45" spans="1:1">
      <c r="A45" t="s">
        <v>443</v>
      </c>
    </row>
    <row r="46" spans="1:1">
      <c r="A46" t="s">
        <v>444</v>
      </c>
    </row>
    <row r="47" spans="1:1">
      <c r="A47" t="s">
        <v>445</v>
      </c>
    </row>
    <row r="48" spans="1:1">
      <c r="A48" t="s">
        <v>446</v>
      </c>
    </row>
    <row r="49" spans="1:1">
      <c r="A49" t="s">
        <v>447</v>
      </c>
    </row>
    <row r="50" spans="1:1">
      <c r="A50" t="s">
        <v>448</v>
      </c>
    </row>
    <row r="51" spans="1:1">
      <c r="A51" t="s">
        <v>449</v>
      </c>
    </row>
    <row r="52" spans="1:1">
      <c r="A52" t="s">
        <v>450</v>
      </c>
    </row>
    <row r="53" spans="1:1">
      <c r="A53" t="s">
        <v>451</v>
      </c>
    </row>
    <row r="54" spans="1:1">
      <c r="A54" t="s">
        <v>452</v>
      </c>
    </row>
    <row r="55" spans="1:1">
      <c r="A55" t="s">
        <v>453</v>
      </c>
    </row>
    <row r="56" spans="1:1">
      <c r="A56" t="s">
        <v>454</v>
      </c>
    </row>
    <row r="57" spans="1:1">
      <c r="A57" t="s">
        <v>455</v>
      </c>
    </row>
    <row r="58" spans="1:1">
      <c r="A58" t="s">
        <v>456</v>
      </c>
    </row>
    <row r="59" spans="1:1">
      <c r="A59" t="s">
        <v>457</v>
      </c>
    </row>
    <row r="60" spans="1:1">
      <c r="A60" t="s">
        <v>458</v>
      </c>
    </row>
    <row r="61" spans="1:1">
      <c r="A61" t="s">
        <v>459</v>
      </c>
    </row>
    <row r="62" spans="1:1">
      <c r="A62" t="s">
        <v>460</v>
      </c>
    </row>
    <row r="63" spans="1:1">
      <c r="A63" t="s">
        <v>461</v>
      </c>
    </row>
    <row r="64" spans="1:1">
      <c r="A64" t="s">
        <v>462</v>
      </c>
    </row>
    <row r="65" spans="1:1">
      <c r="A65" t="s">
        <v>463</v>
      </c>
    </row>
    <row r="66" spans="1:1">
      <c r="A66" t="s">
        <v>464</v>
      </c>
    </row>
    <row r="67" spans="1:1">
      <c r="A67" t="s">
        <v>465</v>
      </c>
    </row>
    <row r="68" spans="1:1">
      <c r="A68" t="s">
        <v>466</v>
      </c>
    </row>
    <row r="69" spans="1:1">
      <c r="A69" t="s">
        <v>467</v>
      </c>
    </row>
    <row r="70" spans="1:1">
      <c r="A70" t="s">
        <v>468</v>
      </c>
    </row>
    <row r="71" spans="1:1">
      <c r="A71" t="s">
        <v>469</v>
      </c>
    </row>
    <row r="72" spans="1:1">
      <c r="A72" t="s">
        <v>470</v>
      </c>
    </row>
    <row r="73" spans="1:1">
      <c r="A73" t="s">
        <v>471</v>
      </c>
    </row>
    <row r="74" spans="1:1">
      <c r="A74" t="s">
        <v>472</v>
      </c>
    </row>
    <row r="75" spans="1:1">
      <c r="A75" t="s">
        <v>473</v>
      </c>
    </row>
    <row r="76" spans="1:1">
      <c r="A76" t="s">
        <v>474</v>
      </c>
    </row>
    <row r="77" spans="1:1">
      <c r="A77" t="s">
        <v>475</v>
      </c>
    </row>
    <row r="78" spans="1:1">
      <c r="A78" t="s">
        <v>476</v>
      </c>
    </row>
    <row r="79" spans="1:1">
      <c r="A79" t="s">
        <v>477</v>
      </c>
    </row>
    <row r="80" spans="1:1">
      <c r="A80" t="s">
        <v>478</v>
      </c>
    </row>
    <row r="81" spans="1:1">
      <c r="A81" t="s">
        <v>479</v>
      </c>
    </row>
    <row r="82" spans="1:1">
      <c r="A82" t="s">
        <v>480</v>
      </c>
    </row>
    <row r="83" spans="1:1">
      <c r="A83" t="s">
        <v>481</v>
      </c>
    </row>
    <row r="84" spans="1:1">
      <c r="A84" t="s">
        <v>482</v>
      </c>
    </row>
    <row r="85" spans="1:1">
      <c r="A85" t="s">
        <v>483</v>
      </c>
    </row>
    <row r="86" spans="1:1">
      <c r="A86" t="s">
        <v>484</v>
      </c>
    </row>
    <row r="87" spans="1:1">
      <c r="A87" t="s">
        <v>485</v>
      </c>
    </row>
    <row r="88" spans="1:1">
      <c r="A88" t="s">
        <v>486</v>
      </c>
    </row>
    <row r="89" spans="1:1">
      <c r="A89" t="s">
        <v>487</v>
      </c>
    </row>
    <row r="90" spans="1:1">
      <c r="A90" t="s">
        <v>488</v>
      </c>
    </row>
    <row r="91" spans="1:1">
      <c r="A91" t="s">
        <v>489</v>
      </c>
    </row>
    <row r="92" spans="1:1">
      <c r="A92" t="s">
        <v>490</v>
      </c>
    </row>
    <row r="93" spans="1:1">
      <c r="A93" t="s">
        <v>491</v>
      </c>
    </row>
    <row r="94" spans="1:1">
      <c r="A94" t="s">
        <v>492</v>
      </c>
    </row>
    <row r="95" spans="1:1">
      <c r="A95" t="s">
        <v>493</v>
      </c>
    </row>
    <row r="96" spans="1:1">
      <c r="A96" t="s">
        <v>494</v>
      </c>
    </row>
    <row r="97" spans="1:1">
      <c r="A97" t="s">
        <v>495</v>
      </c>
    </row>
    <row r="98" spans="1:1">
      <c r="A98" t="s">
        <v>496</v>
      </c>
    </row>
    <row r="99" spans="1:1">
      <c r="A99" t="s">
        <v>497</v>
      </c>
    </row>
    <row r="100" spans="1:1">
      <c r="A100" t="s">
        <v>498</v>
      </c>
    </row>
    <row r="101" spans="1:1">
      <c r="A101" t="s">
        <v>499</v>
      </c>
    </row>
    <row r="102" spans="1:1">
      <c r="A102" t="s">
        <v>500</v>
      </c>
    </row>
    <row r="103" spans="1:1">
      <c r="A103" t="s">
        <v>501</v>
      </c>
    </row>
    <row r="104" spans="1:1">
      <c r="A104" t="s">
        <v>502</v>
      </c>
    </row>
    <row r="105" spans="1:1">
      <c r="A105" t="s">
        <v>503</v>
      </c>
    </row>
    <row r="106" spans="1:1">
      <c r="A106" t="s">
        <v>504</v>
      </c>
    </row>
    <row r="107" spans="1:1">
      <c r="A107" t="s">
        <v>505</v>
      </c>
    </row>
    <row r="108" spans="1:1">
      <c r="A108" t="s">
        <v>506</v>
      </c>
    </row>
    <row r="109" spans="1:1">
      <c r="A109" t="s">
        <v>507</v>
      </c>
    </row>
    <row r="110" spans="1:1">
      <c r="A110" t="s">
        <v>508</v>
      </c>
    </row>
    <row r="111" spans="1:1">
      <c r="A111" t="s">
        <v>509</v>
      </c>
    </row>
    <row r="112" spans="1:1">
      <c r="A112" t="s">
        <v>510</v>
      </c>
    </row>
    <row r="113" spans="1:1">
      <c r="A113" t="s">
        <v>511</v>
      </c>
    </row>
    <row r="114" spans="1:1">
      <c r="A114" t="s">
        <v>512</v>
      </c>
    </row>
    <row r="115" spans="1:1">
      <c r="A115" t="s">
        <v>513</v>
      </c>
    </row>
    <row r="116" spans="1:1">
      <c r="A116" t="s">
        <v>514</v>
      </c>
    </row>
    <row r="117" spans="1:1">
      <c r="A117" t="s">
        <v>515</v>
      </c>
    </row>
    <row r="118" spans="1:1">
      <c r="A118" t="s">
        <v>516</v>
      </c>
    </row>
    <row r="119" spans="1:1">
      <c r="A119" t="s">
        <v>517</v>
      </c>
    </row>
    <row r="120" spans="1:1">
      <c r="A120" t="s">
        <v>518</v>
      </c>
    </row>
    <row r="121" spans="1:1">
      <c r="A121" t="s">
        <v>519</v>
      </c>
    </row>
    <row r="122" spans="1:1">
      <c r="A122" t="s">
        <v>520</v>
      </c>
    </row>
    <row r="123" spans="1:1">
      <c r="A123" t="s">
        <v>521</v>
      </c>
    </row>
    <row r="124" spans="1:1">
      <c r="A124" t="s">
        <v>522</v>
      </c>
    </row>
    <row r="125" spans="1:1">
      <c r="A125" t="s">
        <v>523</v>
      </c>
    </row>
    <row r="126" spans="1:1">
      <c r="A126" t="s">
        <v>524</v>
      </c>
    </row>
    <row r="127" spans="1:1">
      <c r="A127" t="s">
        <v>525</v>
      </c>
    </row>
    <row r="128" spans="1:1">
      <c r="A128" t="s">
        <v>526</v>
      </c>
    </row>
    <row r="129" spans="1:1">
      <c r="A129" t="s">
        <v>527</v>
      </c>
    </row>
    <row r="130" spans="1:1">
      <c r="A130" t="s">
        <v>528</v>
      </c>
    </row>
    <row r="131" spans="1:1">
      <c r="A131" t="s">
        <v>529</v>
      </c>
    </row>
    <row r="132" spans="1:1">
      <c r="A132" t="s">
        <v>530</v>
      </c>
    </row>
    <row r="133" spans="1:1">
      <c r="A133" t="s">
        <v>531</v>
      </c>
    </row>
    <row r="134" spans="1:1">
      <c r="A134" t="s">
        <v>532</v>
      </c>
    </row>
    <row r="135" spans="1:1">
      <c r="A135" t="s">
        <v>533</v>
      </c>
    </row>
    <row r="136" spans="1:1">
      <c r="A136" t="s">
        <v>534</v>
      </c>
    </row>
    <row r="137" spans="1:1">
      <c r="A137" t="s">
        <v>535</v>
      </c>
    </row>
    <row r="138" spans="1:1">
      <c r="A138" t="s">
        <v>536</v>
      </c>
    </row>
    <row r="139" spans="1:1">
      <c r="A139" t="s">
        <v>537</v>
      </c>
    </row>
    <row r="140" spans="1:1">
      <c r="A140" t="s">
        <v>538</v>
      </c>
    </row>
    <row r="141" spans="1:1">
      <c r="A141" t="s">
        <v>539</v>
      </c>
    </row>
    <row r="142" spans="1:1">
      <c r="A142" t="s">
        <v>540</v>
      </c>
    </row>
    <row r="143" spans="1:1">
      <c r="A143" t="s">
        <v>541</v>
      </c>
    </row>
    <row r="144" spans="1:1">
      <c r="A144" t="s">
        <v>542</v>
      </c>
    </row>
    <row r="145" spans="1:1">
      <c r="A145" t="s">
        <v>543</v>
      </c>
    </row>
    <row r="146" spans="1:1">
      <c r="A146" t="s">
        <v>544</v>
      </c>
    </row>
    <row r="147" spans="1:1">
      <c r="A147" t="s">
        <v>545</v>
      </c>
    </row>
    <row r="148" spans="1:1">
      <c r="A148" t="s">
        <v>546</v>
      </c>
    </row>
    <row r="149" spans="1:1">
      <c r="A149" t="s">
        <v>547</v>
      </c>
    </row>
    <row r="150" spans="1:1">
      <c r="A150" t="s">
        <v>548</v>
      </c>
    </row>
    <row r="151" spans="1:1">
      <c r="A151" t="s">
        <v>549</v>
      </c>
    </row>
    <row r="152" spans="1:1">
      <c r="A152" t="s">
        <v>550</v>
      </c>
    </row>
    <row r="153" spans="1:1">
      <c r="A153" t="s">
        <v>551</v>
      </c>
    </row>
    <row r="154" spans="1:1">
      <c r="A154" t="s">
        <v>552</v>
      </c>
    </row>
    <row r="155" spans="1:1">
      <c r="A155" t="s">
        <v>553</v>
      </c>
    </row>
    <row r="156" spans="1:1">
      <c r="A156" t="s">
        <v>554</v>
      </c>
    </row>
    <row r="157" spans="1:1">
      <c r="A157" t="s">
        <v>555</v>
      </c>
    </row>
    <row r="158" spans="1:1">
      <c r="A158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UANL NMS</vt:lpstr>
      <vt:lpstr>CECYTE</vt:lpstr>
      <vt:lpstr>CONALEP</vt:lpstr>
      <vt:lpstr>DGETI(CBTIS-CETIS)</vt:lpstr>
      <vt:lpstr>DGETAYCM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Esteban Balderrabano Ortega</cp:lastModifiedBy>
  <dcterms:modified xsi:type="dcterms:W3CDTF">2026-08-03T16:16:22Z</dcterms:modified>
</cp:coreProperties>
</file>